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Budget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For inductive loads (e.g., motors, solenoids) this is often called "stall current" on the data sheet</t>
      </text>
    </comment>
  </commentList>
</comments>
</file>

<file path=xl/sharedStrings.xml><?xml version="1.0" encoding="utf-8"?>
<sst xmlns="http://schemas.openxmlformats.org/spreadsheetml/2006/main" count="182" uniqueCount="70">
  <si>
    <t>Power Budget</t>
  </si>
  <si>
    <t>Team Number:</t>
  </si>
  <si>
    <t>Project Name:</t>
  </si>
  <si>
    <t xml:space="preserve"> Automatic Plant Care System</t>
  </si>
  <si>
    <t>Team Member Names:</t>
  </si>
  <si>
    <t>Jon San Vicente</t>
  </si>
  <si>
    <t>Version:</t>
  </si>
  <si>
    <t>All Major Components</t>
  </si>
  <si>
    <t>Component Name</t>
  </si>
  <si>
    <t>Part Number</t>
  </si>
  <si>
    <t>Supply
Voltage
Range</t>
  </si>
  <si>
    <t>#</t>
  </si>
  <si>
    <t>Absolute
Maximum
Current (mA)</t>
  </si>
  <si>
    <t>Total
Current
(mA)</t>
  </si>
  <si>
    <t>Unit</t>
  </si>
  <si>
    <t>Curiosity Nano</t>
  </si>
  <si>
    <t>PIC18F57Q43</t>
  </si>
  <si>
    <t xml:space="preserve"> 1.7V -5.1V</t>
  </si>
  <si>
    <t>mA</t>
  </si>
  <si>
    <t>MOSFET</t>
  </si>
  <si>
    <t>AOTF2618L</t>
  </si>
  <si>
    <t>0V - 60V</t>
  </si>
  <si>
    <t>H-Bridge</t>
  </si>
  <si>
    <t>FAN8100N</t>
  </si>
  <si>
    <t>1.8V -  9V</t>
  </si>
  <si>
    <t>DC-Motor</t>
  </si>
  <si>
    <t>12V</t>
  </si>
  <si>
    <t>LED</t>
  </si>
  <si>
    <t>XBUG53D</t>
  </si>
  <si>
    <t>9V</t>
  </si>
  <si>
    <t xml:space="preserve"> +9V Power Rail</t>
  </si>
  <si>
    <t>2.2V - 9V</t>
  </si>
  <si>
    <t xml:space="preserve">Subtotal </t>
  </si>
  <si>
    <t>Safety Margin</t>
  </si>
  <si>
    <t>Total Current Required on +12V Rail</t>
  </si>
  <si>
    <t>Wall Power Supply</t>
  </si>
  <si>
    <t>Total Remaining Current Available on +12V Rail</t>
  </si>
  <si>
    <t xml:space="preserve"> +5V Power Rail</t>
  </si>
  <si>
    <t>1.7V -5.1V</t>
  </si>
  <si>
    <t>1.8V - 9V</t>
  </si>
  <si>
    <t>Total Current Required on +5V Rail</t>
  </si>
  <si>
    <t>c2. Regulator or Source Choice</t>
  </si>
  <si>
    <t xml:space="preserve"> +5V Regulator</t>
  </si>
  <si>
    <t>LM7805T</t>
  </si>
  <si>
    <t>5V  - 18V</t>
  </si>
  <si>
    <t>Total Remaining Current Available on +5V Rail</t>
  </si>
  <si>
    <t>-5V Power Rail</t>
  </si>
  <si>
    <t>Total Current Required on -5V Rail</t>
  </si>
  <si>
    <t>Total Remaining Current Available on -5V Rail</t>
  </si>
  <si>
    <t xml:space="preserve"> +3.3V Power Rail</t>
  </si>
  <si>
    <t>Total Current Required on +3.3V Rail</t>
  </si>
  <si>
    <t>Total Remaining Current Available on 3.3V Rail</t>
  </si>
  <si>
    <t>C. For each power rail above, select a specific voltage regulator using the same process as for major component selection. Confirm that the Total Remaining Current Available on each rail above is not negative.</t>
  </si>
  <si>
    <t>External Power Source 1</t>
  </si>
  <si>
    <t>Output Voltage</t>
  </si>
  <si>
    <t>Power Source 1 Selection</t>
  </si>
  <si>
    <t>Plug-in Wall Supply</t>
  </si>
  <si>
    <t>WR9HD1333CCP-F(R6B)</t>
  </si>
  <si>
    <t>110VAC</t>
  </si>
  <si>
    <t xml:space="preserve"> 9V</t>
  </si>
  <si>
    <t>Power Rails Connected to External Power Source 1</t>
  </si>
  <si>
    <t>5V - 18V</t>
  </si>
  <si>
    <t>Total Remaining Current Available on External Power Source 1</t>
  </si>
  <si>
    <t>External Power Source 2</t>
  </si>
  <si>
    <t>Total Remaining Current Available on External Power Source 2</t>
  </si>
  <si>
    <t>Capacity
(mAh)</t>
  </si>
  <si>
    <t>Required
By
Regulators</t>
  </si>
  <si>
    <t>Battery Life</t>
  </si>
  <si>
    <t>hours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</si>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</sst>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rgb="FF000000"/>
      <name val="Calibri"/>
      <scheme val="minor"/>
    </font>
    <font>
      <b/>
      <sz val="24.0"/>
      <color rgb="FF000000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b/>
      <sz val="12.0"/>
      <color rgb="FF000000"/>
      <name val="Arial"/>
    </font>
    <font>
      <b/>
      <i/>
      <sz val="12.0"/>
      <color rgb="FF000000"/>
      <name val="Arial"/>
    </font>
    <font/>
    <font>
      <sz val="12.0"/>
      <color rgb="FF000000"/>
      <name val="Calibri"/>
    </font>
    <font>
      <sz val="12.0"/>
      <color rgb="FF000000"/>
      <name val="Arial"/>
    </font>
    <font>
      <b/>
      <i/>
      <sz val="12.0"/>
      <color rgb="FF000000"/>
      <name val="Calibri"/>
    </font>
    <font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/>
      <right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shrinkToFit="0" wrapText="0"/>
    </xf>
    <xf borderId="1" fillId="0" fontId="3" numFmtId="0" xfId="0" applyAlignment="1" applyBorder="1" applyFont="1">
      <alignment readingOrder="0"/>
    </xf>
    <xf borderId="0" fillId="0" fontId="2" numFmtId="0" xfId="0" applyAlignment="1" applyFont="1">
      <alignment horizontal="center" shrinkToFit="0" wrapText="0"/>
    </xf>
    <xf borderId="1" fillId="0" fontId="4" numFmtId="0" xfId="0" applyAlignment="1" applyBorder="1" applyFont="1">
      <alignment shrinkToFit="0" wrapText="0"/>
    </xf>
    <xf borderId="1" fillId="0" fontId="2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2" fillId="2" fontId="5" numFmtId="0" xfId="0" applyAlignment="1" applyBorder="1" applyFill="1" applyFont="1">
      <alignment shrinkToFit="0" wrapText="1"/>
    </xf>
    <xf borderId="3" fillId="0" fontId="6" numFmtId="0" xfId="0" applyBorder="1" applyFont="1"/>
    <xf borderId="4" fillId="0" fontId="6" numFmtId="0" xfId="0" applyBorder="1" applyFont="1"/>
    <xf borderId="2" fillId="3" fontId="4" numFmtId="0" xfId="0" applyAlignment="1" applyBorder="1" applyFill="1" applyFont="1">
      <alignment horizontal="center" shrinkToFit="0" wrapText="0"/>
    </xf>
    <xf borderId="5" fillId="3" fontId="2" numFmtId="0" xfId="0" applyAlignment="1" applyBorder="1" applyFont="1">
      <alignment horizontal="center" shrinkToFit="0" wrapText="0"/>
    </xf>
    <xf borderId="5" fillId="3" fontId="4" numFmtId="0" xfId="0" applyAlignment="1" applyBorder="1" applyFont="1">
      <alignment horizontal="center" shrinkToFit="0" wrapText="0"/>
    </xf>
    <xf borderId="6" fillId="3" fontId="4" numFmtId="0" xfId="0" applyAlignment="1" applyBorder="1" applyFont="1">
      <alignment horizontal="center" shrinkToFit="0" wrapText="0"/>
    </xf>
    <xf borderId="7" fillId="3" fontId="4" numFmtId="0" xfId="0" applyAlignment="1" applyBorder="1" applyFont="1">
      <alignment horizontal="center" shrinkToFit="0" wrapText="0"/>
    </xf>
    <xf borderId="8" fillId="0" fontId="7" numFmtId="0" xfId="0" applyAlignment="1" applyBorder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shrinkToFit="0" wrapText="0"/>
    </xf>
    <xf borderId="0" fillId="0" fontId="7" numFmtId="0" xfId="0" applyAlignment="1" applyFont="1">
      <alignment shrinkToFit="0" wrapText="0"/>
    </xf>
    <xf borderId="9" fillId="0" fontId="7" numFmtId="0" xfId="0" applyAlignment="1" applyBorder="1" applyFont="1">
      <alignment shrinkToFit="0" wrapText="0"/>
    </xf>
    <xf borderId="9" fillId="0" fontId="8" numFmtId="0" xfId="0" applyAlignment="1" applyBorder="1" applyFont="1">
      <alignment shrinkToFit="0" wrapText="0"/>
    </xf>
    <xf borderId="9" fillId="0" fontId="8" numFmtId="0" xfId="0" applyAlignment="1" applyBorder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9" fillId="0" fontId="7" numFmtId="0" xfId="0" applyAlignment="1" applyBorder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0" fontId="8" numFmtId="49" xfId="0" applyAlignment="1" applyFont="1" applyNumberFormat="1">
      <alignment horizontal="center" readingOrder="0" shrinkToFit="0" wrapText="0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horizontal="center" shrinkToFit="0" wrapText="0"/>
    </xf>
    <xf borderId="8" fillId="0" fontId="2" numFmtId="0" xfId="0" applyAlignment="1" applyBorder="1" applyFont="1">
      <alignment shrinkToFit="0" wrapText="0"/>
    </xf>
    <xf borderId="0" fillId="0" fontId="4" numFmtId="0" xfId="0" applyAlignment="1" applyFont="1">
      <alignment horizontal="center" shrinkToFit="0" wrapText="0"/>
    </xf>
    <xf borderId="9" fillId="0" fontId="2" numFmtId="0" xfId="0" applyAlignment="1" applyBorder="1" applyFont="1">
      <alignment shrinkToFit="0" wrapText="0"/>
    </xf>
    <xf borderId="10" fillId="3" fontId="5" numFmtId="0" xfId="0" applyAlignment="1" applyBorder="1" applyFont="1">
      <alignment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0" fontId="9" numFmtId="0" xfId="0" applyAlignment="1" applyFont="1">
      <alignment horizontal="right" shrinkToFit="0" wrapText="0"/>
    </xf>
    <xf borderId="9" fillId="0" fontId="7" numFmtId="9" xfId="0" applyAlignment="1" applyBorder="1" applyFont="1" applyNumberFormat="1">
      <alignment shrinkToFit="0" wrapText="0"/>
    </xf>
    <xf borderId="8" fillId="0" fontId="9" numFmtId="0" xfId="0" applyAlignment="1" applyBorder="1" applyFont="1">
      <alignment shrinkToFit="0" wrapText="0"/>
    </xf>
    <xf borderId="0" fillId="0" fontId="5" numFmtId="0" xfId="0" applyAlignment="1" applyFont="1">
      <alignment horizontal="right" shrinkToFit="0" wrapText="0"/>
    </xf>
    <xf borderId="8" fillId="0" fontId="5" numFmtId="0" xfId="0" applyAlignment="1" applyBorder="1" applyFont="1">
      <alignment horizontal="left" shrinkToFit="0" wrapText="0"/>
    </xf>
    <xf borderId="0" fillId="0" fontId="8" numFmtId="0" xfId="0" applyAlignment="1" applyFont="1">
      <alignment horizontal="left" shrinkToFit="0" wrapText="0"/>
    </xf>
    <xf borderId="0" fillId="0" fontId="8" numFmtId="0" xfId="0" applyAlignment="1" applyFont="1">
      <alignment horizontal="right" shrinkToFit="0" wrapText="0"/>
    </xf>
    <xf borderId="9" fillId="0" fontId="7" numFmtId="0" xfId="0" applyAlignment="1" applyBorder="1" applyFont="1">
      <alignment horizontal="right" shrinkToFit="0" wrapText="0"/>
    </xf>
    <xf borderId="0" fillId="0" fontId="8" numFmtId="0" xfId="0" applyAlignment="1" applyFont="1">
      <alignment horizontal="right" readingOrder="0" shrinkToFit="0" wrapText="0"/>
    </xf>
    <xf borderId="9" fillId="0" fontId="7" numFmtId="0" xfId="0" applyAlignment="1" applyBorder="1" applyFont="1">
      <alignment horizontal="right" readingOrder="0" shrinkToFit="0" wrapText="0"/>
    </xf>
    <xf borderId="11" fillId="0" fontId="5" numFmtId="0" xfId="0" applyAlignment="1" applyBorder="1" applyFont="1">
      <alignment horizontal="left" shrinkToFit="0" wrapText="0"/>
    </xf>
    <xf borderId="12" fillId="0" fontId="5" numFmtId="49" xfId="0" applyAlignment="1" applyBorder="1" applyFont="1" applyNumberFormat="1">
      <alignment horizontal="right" shrinkToFit="0" wrapText="0"/>
    </xf>
    <xf borderId="12" fillId="0" fontId="6" numFmtId="0" xfId="0" applyBorder="1" applyFont="1"/>
    <xf borderId="10" fillId="3" fontId="5" numFmtId="0" xfId="0" applyAlignment="1" applyBorder="1" applyFont="1">
      <alignment shrinkToFit="0" wrapText="0"/>
    </xf>
    <xf borderId="1" fillId="3" fontId="4" numFmtId="0" xfId="0" applyAlignment="1" applyBorder="1" applyFont="1">
      <alignment horizontal="center" shrinkToFit="0" wrapText="0"/>
    </xf>
    <xf borderId="0" fillId="0" fontId="5" numFmtId="49" xfId="0" applyAlignment="1" applyFont="1" applyNumberFormat="1">
      <alignment horizontal="right" shrinkToFit="0" wrapText="0"/>
    </xf>
    <xf borderId="8" fillId="0" fontId="5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8" fillId="0" fontId="5" numFmtId="0" xfId="0" applyAlignment="1" applyBorder="1" applyFont="1">
      <alignment shrinkToFit="0" wrapText="0"/>
    </xf>
    <xf borderId="9" fillId="0" fontId="5" numFmtId="0" xfId="0" applyAlignment="1" applyBorder="1" applyFont="1">
      <alignment shrinkToFit="0" wrapText="0"/>
    </xf>
    <xf borderId="11" fillId="0" fontId="5" numFmtId="0" xfId="0" applyAlignment="1" applyBorder="1" applyFont="1">
      <alignment shrinkToFit="0" wrapText="1"/>
    </xf>
    <xf borderId="13" fillId="0" fontId="6" numFmtId="0" xfId="0" applyBorder="1" applyFont="1"/>
    <xf borderId="5" fillId="3" fontId="4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horizontal="left" shrinkToFit="0" wrapText="0"/>
    </xf>
    <xf borderId="9" fillId="0" fontId="8" numFmtId="0" xfId="0" applyAlignment="1" applyBorder="1" applyFont="1">
      <alignment horizontal="right" readingOrder="0" shrinkToFit="0" wrapText="0"/>
    </xf>
    <xf borderId="14" fillId="0" fontId="8" numFmtId="0" xfId="0" applyAlignment="1" applyBorder="1" applyFont="1">
      <alignment horizontal="left" shrinkToFit="0" wrapText="0"/>
    </xf>
    <xf borderId="8" fillId="0" fontId="4" numFmtId="0" xfId="0" applyAlignment="1" applyBorder="1" applyFont="1">
      <alignment horizontal="center" shrinkToFit="0" wrapText="0"/>
    </xf>
    <xf borderId="14" fillId="0" fontId="8" numFmtId="0" xfId="0" applyAlignment="1" applyBorder="1" applyFont="1">
      <alignment shrinkToFit="0" wrapText="0"/>
    </xf>
    <xf borderId="8" fillId="0" fontId="4" numFmtId="0" xfId="0" applyAlignment="1" applyBorder="1" applyFont="1">
      <alignment horizontal="left" shrinkToFit="0" vertical="center" wrapText="1"/>
    </xf>
    <xf borderId="8" fillId="0" fontId="6" numFmtId="0" xfId="0" applyBorder="1" applyFont="1"/>
    <xf borderId="9" fillId="0" fontId="8" numFmtId="0" xfId="0" applyAlignment="1" applyBorder="1" applyFont="1">
      <alignment horizontal="right" shrinkToFit="0" wrapText="0"/>
    </xf>
    <xf borderId="9" fillId="0" fontId="4" numFmtId="0" xfId="0" applyAlignment="1" applyBorder="1" applyFont="1">
      <alignment horizontal="center" shrinkToFit="0" wrapText="0"/>
    </xf>
    <xf borderId="14" fillId="0" fontId="4" numFmtId="0" xfId="0" applyAlignment="1" applyBorder="1" applyFont="1">
      <alignment horizontal="center" shrinkToFit="0" wrapText="0"/>
    </xf>
    <xf borderId="0" fillId="0" fontId="10" numFmtId="0" xfId="0" applyFont="1"/>
    <xf borderId="9" fillId="0" fontId="7" numFmtId="0" xfId="0" applyAlignment="1" applyBorder="1" applyFont="1">
      <alignment horizontal="center" shrinkToFit="0" wrapText="0"/>
    </xf>
    <xf borderId="1" fillId="2" fontId="9" numFmtId="0" xfId="0" applyAlignment="1" applyBorder="1" applyFont="1">
      <alignment shrinkToFit="0" wrapText="0"/>
    </xf>
    <xf borderId="8" fillId="3" fontId="2" numFmtId="0" xfId="0" applyAlignment="1" applyBorder="1" applyFont="1">
      <alignment shrinkToFit="0" wrapText="0"/>
    </xf>
    <xf borderId="15" fillId="3" fontId="2" numFmtId="0" xfId="0" applyAlignment="1" applyBorder="1" applyFont="1">
      <alignment shrinkToFit="0" wrapText="0"/>
    </xf>
    <xf borderId="16" fillId="3" fontId="4" numFmtId="0" xfId="0" applyAlignment="1" applyBorder="1" applyFont="1">
      <alignment horizontal="center" shrinkToFit="0" wrapText="0"/>
    </xf>
    <xf borderId="17" fillId="3" fontId="4" numFmtId="0" xfId="0" applyAlignment="1" applyBorder="1" applyFont="1">
      <alignment horizontal="center" shrinkToFit="0" wrapText="0"/>
    </xf>
    <xf borderId="9" fillId="3" fontId="4" numFmtId="0" xfId="0" applyAlignment="1" applyBorder="1" applyFont="1">
      <alignment horizontal="center" shrinkToFit="0" wrapText="0"/>
    </xf>
    <xf borderId="9" fillId="3" fontId="2" numFmtId="0" xfId="0" applyAlignment="1" applyBorder="1" applyFont="1">
      <alignment shrinkToFit="0" wrapText="0"/>
    </xf>
    <xf borderId="0" fillId="2" fontId="5" numFmtId="0" xfId="0" applyAlignment="1" applyFont="1">
      <alignment shrinkToFit="0" wrapText="0"/>
    </xf>
    <xf borderId="0" fillId="2" fontId="7" numFmtId="0" xfId="0" applyAlignment="1" applyFont="1">
      <alignment shrinkToFit="0" wrapText="0"/>
    </xf>
    <xf borderId="0" fillId="0" fontId="8" numFmtId="0" xfId="0" applyAlignment="1" applyFont="1">
      <alignment shrinkToFit="0" wrapText="1"/>
    </xf>
    <xf borderId="0" fillId="4" fontId="11" numFmtId="0" xfId="0" applyAlignment="1" applyFill="1" applyFont="1">
      <alignment horizontal="left" shrinkToFit="0" wrapText="1"/>
    </xf>
  </cellXfs>
  <cellStyles count="1">
    <cellStyle xfId="0" name="Normal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26.11"/>
    <col customWidth="1" min="2" max="2" width="23.11"/>
    <col customWidth="1" min="3" max="3" width="13.44"/>
    <col customWidth="1" min="4" max="4" width="11.44"/>
    <col customWidth="1" min="5" max="5" width="6.89"/>
    <col customWidth="1" min="6" max="6" width="12.33"/>
    <col customWidth="1" min="7" max="7" width="12.67"/>
    <col customWidth="1" min="8" max="8" width="9.0"/>
    <col customWidth="1" min="9" max="26" width="13.44"/>
  </cols>
  <sheetData>
    <row r="1" ht="30.0" customHeight="1">
      <c r="A1" s="1" t="s">
        <v>0</v>
      </c>
    </row>
    <row r="2" ht="15.0" customHeight="1">
      <c r="A2" s="2" t="s">
        <v>1</v>
      </c>
      <c r="B2" s="3">
        <v>106.0</v>
      </c>
      <c r="D2" s="4"/>
      <c r="E2" s="4"/>
    </row>
    <row r="3" ht="15.0" customHeight="1">
      <c r="A3" s="5" t="s">
        <v>2</v>
      </c>
      <c r="B3" s="6" t="s">
        <v>3</v>
      </c>
      <c r="C3" s="7"/>
      <c r="D3" s="4"/>
      <c r="E3" s="4"/>
      <c r="F3" s="7"/>
      <c r="G3" s="7"/>
      <c r="H3" s="7"/>
    </row>
    <row r="4" ht="15.0" customHeight="1">
      <c r="A4" s="5" t="s">
        <v>4</v>
      </c>
      <c r="B4" s="6" t="s">
        <v>5</v>
      </c>
      <c r="C4" s="7"/>
      <c r="D4" s="4"/>
      <c r="E4" s="4"/>
      <c r="F4" s="7"/>
      <c r="G4" s="7"/>
      <c r="H4" s="7"/>
    </row>
    <row r="5" ht="15.0" customHeight="1">
      <c r="A5" s="5" t="s">
        <v>6</v>
      </c>
      <c r="B5" s="6">
        <v>1.0</v>
      </c>
      <c r="C5" s="7"/>
      <c r="D5" s="4"/>
      <c r="E5" s="4"/>
      <c r="F5" s="7"/>
      <c r="G5" s="7"/>
      <c r="H5" s="7"/>
    </row>
    <row r="6" ht="15.0" customHeight="1">
      <c r="A6" s="8"/>
      <c r="B6" s="7"/>
      <c r="C6" s="7"/>
      <c r="D6" s="4"/>
      <c r="E6" s="4"/>
      <c r="F6" s="7"/>
      <c r="G6" s="7"/>
      <c r="H6" s="7"/>
    </row>
    <row r="7" ht="15.0" customHeight="1">
      <c r="A7" s="9"/>
      <c r="B7" s="10"/>
      <c r="C7" s="10"/>
      <c r="D7" s="10"/>
      <c r="E7" s="10"/>
      <c r="F7" s="10"/>
      <c r="G7" s="10"/>
      <c r="H7" s="11"/>
    </row>
    <row r="8" ht="15.0" customHeight="1">
      <c r="A8" s="12" t="s">
        <v>7</v>
      </c>
      <c r="B8" s="13" t="s">
        <v>8</v>
      </c>
      <c r="C8" s="13" t="s">
        <v>9</v>
      </c>
      <c r="D8" s="14" t="s">
        <v>10</v>
      </c>
      <c r="E8" s="14" t="s">
        <v>11</v>
      </c>
      <c r="F8" s="15" t="s">
        <v>12</v>
      </c>
      <c r="G8" s="16" t="s">
        <v>13</v>
      </c>
      <c r="H8" s="16" t="s">
        <v>14</v>
      </c>
    </row>
    <row r="9" ht="15.0" customHeight="1">
      <c r="A9" s="17"/>
      <c r="B9" s="18" t="s">
        <v>15</v>
      </c>
      <c r="C9" s="18" t="s">
        <v>16</v>
      </c>
      <c r="D9" s="19" t="s">
        <v>17</v>
      </c>
      <c r="E9" s="20">
        <v>1.0</v>
      </c>
      <c r="F9" s="21">
        <v>500.0</v>
      </c>
      <c r="G9" s="22">
        <f t="shared" ref="G9:G10" si="1">E9*F9</f>
        <v>500</v>
      </c>
      <c r="H9" s="23" t="s">
        <v>18</v>
      </c>
    </row>
    <row r="10" ht="15.0" customHeight="1">
      <c r="A10" s="17"/>
      <c r="B10" s="18" t="s">
        <v>19</v>
      </c>
      <c r="C10" s="18" t="s">
        <v>20</v>
      </c>
      <c r="D10" s="19" t="s">
        <v>21</v>
      </c>
      <c r="E10" s="20">
        <v>1.0</v>
      </c>
      <c r="F10" s="18">
        <v>200.0</v>
      </c>
      <c r="G10" s="22">
        <f t="shared" si="1"/>
        <v>200</v>
      </c>
      <c r="H10" s="24" t="s">
        <v>18</v>
      </c>
    </row>
    <row r="11" ht="15.0" customHeight="1">
      <c r="A11" s="17"/>
      <c r="B11" s="18" t="s">
        <v>22</v>
      </c>
      <c r="C11" s="18" t="s">
        <v>23</v>
      </c>
      <c r="D11" s="25" t="s">
        <v>24</v>
      </c>
      <c r="E11" s="25">
        <v>1.0</v>
      </c>
      <c r="F11" s="18">
        <v>100.0</v>
      </c>
      <c r="G11" s="26">
        <v>100.0</v>
      </c>
      <c r="H11" s="24" t="s">
        <v>18</v>
      </c>
    </row>
    <row r="12" ht="15.0" customHeight="1">
      <c r="A12" s="17"/>
      <c r="B12" s="27" t="s">
        <v>25</v>
      </c>
      <c r="C12" s="28">
        <v>11696.0</v>
      </c>
      <c r="D12" s="29" t="s">
        <v>26</v>
      </c>
      <c r="E12" s="19">
        <v>1.0</v>
      </c>
      <c r="F12" s="27">
        <v>500.0</v>
      </c>
      <c r="G12" s="26">
        <v>500.0</v>
      </c>
      <c r="H12" s="24" t="s">
        <v>18</v>
      </c>
    </row>
    <row r="13" ht="15.0" customHeight="1">
      <c r="A13" s="17"/>
      <c r="B13" s="18" t="s">
        <v>27</v>
      </c>
      <c r="C13" s="27" t="s">
        <v>28</v>
      </c>
      <c r="D13" s="19" t="s">
        <v>29</v>
      </c>
      <c r="E13" s="25">
        <v>3.0</v>
      </c>
      <c r="F13" s="18">
        <v>50.0</v>
      </c>
      <c r="G13" s="26">
        <v>150.0</v>
      </c>
      <c r="H13" s="24" t="s">
        <v>18</v>
      </c>
    </row>
    <row r="14" ht="15.0" customHeight="1">
      <c r="A14" s="17"/>
      <c r="B14" s="30"/>
      <c r="C14" s="21"/>
      <c r="D14" s="31"/>
      <c r="E14" s="20"/>
      <c r="F14" s="21"/>
      <c r="G14" s="22"/>
      <c r="H14" s="23"/>
    </row>
    <row r="15" ht="15.0" customHeight="1">
      <c r="A15" s="32"/>
      <c r="B15" s="8"/>
      <c r="C15" s="7"/>
      <c r="D15" s="33"/>
      <c r="E15" s="4"/>
      <c r="F15" s="7"/>
      <c r="G15" s="34"/>
      <c r="H15" s="34"/>
    </row>
    <row r="16" ht="15.0" customHeight="1">
      <c r="A16" s="9"/>
      <c r="B16" s="10"/>
      <c r="C16" s="10"/>
      <c r="D16" s="10"/>
      <c r="E16" s="10"/>
      <c r="F16" s="10"/>
      <c r="G16" s="10"/>
      <c r="H16" s="11"/>
    </row>
    <row r="17" ht="15.0" customHeight="1">
      <c r="A17" s="35" t="s">
        <v>30</v>
      </c>
      <c r="B17" s="13" t="s">
        <v>8</v>
      </c>
      <c r="C17" s="13" t="s">
        <v>9</v>
      </c>
      <c r="D17" s="14" t="s">
        <v>10</v>
      </c>
      <c r="E17" s="14" t="s">
        <v>11</v>
      </c>
      <c r="F17" s="15" t="s">
        <v>12</v>
      </c>
      <c r="G17" s="16" t="s">
        <v>13</v>
      </c>
      <c r="H17" s="16" t="s">
        <v>14</v>
      </c>
    </row>
    <row r="18" ht="15.0" customHeight="1">
      <c r="A18" s="17"/>
      <c r="B18" s="18" t="s">
        <v>22</v>
      </c>
      <c r="C18" s="18" t="s">
        <v>23</v>
      </c>
      <c r="D18" s="19" t="s">
        <v>31</v>
      </c>
      <c r="E18" s="25">
        <v>1.0</v>
      </c>
      <c r="F18" s="18">
        <v>300.0</v>
      </c>
      <c r="G18" s="26">
        <v>100.0</v>
      </c>
      <c r="H18" s="23" t="s">
        <v>18</v>
      </c>
    </row>
    <row r="19" ht="15.0" customHeight="1">
      <c r="A19" s="17"/>
      <c r="B19" s="18" t="s">
        <v>25</v>
      </c>
      <c r="C19" s="36">
        <v>11696.0</v>
      </c>
      <c r="D19" s="19" t="s">
        <v>26</v>
      </c>
      <c r="E19" s="25">
        <v>1.0</v>
      </c>
      <c r="F19" s="18">
        <v>500.0</v>
      </c>
      <c r="G19" s="22">
        <f t="shared" ref="G19:G22" si="2">E19*F19</f>
        <v>500</v>
      </c>
      <c r="H19" s="23" t="s">
        <v>18</v>
      </c>
    </row>
    <row r="20" ht="15.0" customHeight="1">
      <c r="A20" s="17"/>
      <c r="B20" s="18" t="s">
        <v>27</v>
      </c>
      <c r="C20" s="18" t="s">
        <v>28</v>
      </c>
      <c r="D20" s="25" t="s">
        <v>29</v>
      </c>
      <c r="E20" s="25">
        <v>3.0</v>
      </c>
      <c r="F20" s="18">
        <v>50.0</v>
      </c>
      <c r="G20" s="22">
        <f t="shared" si="2"/>
        <v>150</v>
      </c>
      <c r="H20" s="23" t="s">
        <v>18</v>
      </c>
    </row>
    <row r="21" ht="15.0" customHeight="1">
      <c r="A21" s="17"/>
      <c r="B21" s="21"/>
      <c r="C21" s="21"/>
      <c r="D21" s="20"/>
      <c r="E21" s="20"/>
      <c r="F21" s="21"/>
      <c r="G21" s="22">
        <f t="shared" si="2"/>
        <v>0</v>
      </c>
      <c r="H21" s="23" t="s">
        <v>18</v>
      </c>
    </row>
    <row r="22" ht="15.0" customHeight="1">
      <c r="A22" s="17"/>
      <c r="C22" s="21"/>
      <c r="D22" s="20"/>
      <c r="E22" s="20"/>
      <c r="F22" s="21"/>
      <c r="G22" s="22">
        <f t="shared" si="2"/>
        <v>0</v>
      </c>
      <c r="H22" s="23" t="s">
        <v>18</v>
      </c>
    </row>
    <row r="23" ht="15.0" customHeight="1">
      <c r="A23" s="17"/>
      <c r="B23" s="37" t="s">
        <v>32</v>
      </c>
      <c r="G23" s="22">
        <f>SUM(G18:G22)</f>
        <v>750</v>
      </c>
      <c r="H23" s="23" t="s">
        <v>18</v>
      </c>
    </row>
    <row r="24" ht="15.0" customHeight="1">
      <c r="A24" s="17"/>
      <c r="B24" s="37" t="s">
        <v>33</v>
      </c>
      <c r="G24" s="38">
        <v>0.25</v>
      </c>
      <c r="H24" s="38"/>
    </row>
    <row r="25" ht="15.0" customHeight="1">
      <c r="A25" s="39"/>
      <c r="B25" s="40" t="s">
        <v>34</v>
      </c>
      <c r="G25" s="22">
        <f>G23*(1+G24)</f>
        <v>937.5</v>
      </c>
      <c r="H25" s="23" t="s">
        <v>18</v>
      </c>
    </row>
    <row r="26" ht="15.0" customHeight="1">
      <c r="A26" s="41"/>
      <c r="B26" s="42"/>
      <c r="C26" s="42"/>
      <c r="D26" s="31"/>
      <c r="E26" s="31"/>
      <c r="F26" s="43"/>
      <c r="G26" s="44"/>
      <c r="H26" s="22"/>
    </row>
    <row r="27" ht="15.0" customHeight="1">
      <c r="A27" s="41"/>
      <c r="B27" s="28" t="s">
        <v>35</v>
      </c>
      <c r="C27" s="42"/>
      <c r="D27" s="31"/>
      <c r="E27" s="19">
        <v>1.0</v>
      </c>
      <c r="F27" s="45">
        <v>1000.0</v>
      </c>
      <c r="G27" s="46">
        <v>1000.0</v>
      </c>
      <c r="H27" s="23" t="s">
        <v>18</v>
      </c>
    </row>
    <row r="28" ht="15.0" customHeight="1">
      <c r="A28" s="47"/>
      <c r="B28" s="48" t="s">
        <v>36</v>
      </c>
      <c r="C28" s="49"/>
      <c r="D28" s="49"/>
      <c r="E28" s="49"/>
      <c r="F28" s="49"/>
      <c r="G28" s="44">
        <f>G27-G25</f>
        <v>62.5</v>
      </c>
      <c r="H28" s="23" t="s">
        <v>18</v>
      </c>
    </row>
    <row r="29" ht="15.0" customHeight="1">
      <c r="A29" s="50" t="s">
        <v>37</v>
      </c>
      <c r="B29" s="13" t="s">
        <v>8</v>
      </c>
      <c r="C29" s="13" t="s">
        <v>9</v>
      </c>
      <c r="D29" s="14" t="s">
        <v>10</v>
      </c>
      <c r="E29" s="14" t="s">
        <v>11</v>
      </c>
      <c r="F29" s="15" t="s">
        <v>12</v>
      </c>
      <c r="G29" s="51" t="s">
        <v>13</v>
      </c>
      <c r="H29" s="51" t="s">
        <v>14</v>
      </c>
    </row>
    <row r="30" ht="15.0" customHeight="1">
      <c r="A30" s="17"/>
      <c r="B30" s="18" t="s">
        <v>15</v>
      </c>
      <c r="C30" s="18" t="s">
        <v>16</v>
      </c>
      <c r="D30" s="25" t="s">
        <v>38</v>
      </c>
      <c r="E30" s="25">
        <v>1.0</v>
      </c>
      <c r="F30" s="18">
        <v>500.0</v>
      </c>
      <c r="G30" s="22">
        <f t="shared" ref="G30:G31" si="3">E30*F30</f>
        <v>500</v>
      </c>
      <c r="H30" s="23" t="s">
        <v>18</v>
      </c>
    </row>
    <row r="31" ht="15.0" customHeight="1">
      <c r="A31" s="17"/>
      <c r="B31" s="27" t="s">
        <v>19</v>
      </c>
      <c r="C31" s="27" t="s">
        <v>20</v>
      </c>
      <c r="D31" s="19" t="s">
        <v>21</v>
      </c>
      <c r="E31" s="31">
        <v>1.0</v>
      </c>
      <c r="F31" s="27">
        <v>200.0</v>
      </c>
      <c r="G31" s="22">
        <f t="shared" si="3"/>
        <v>200</v>
      </c>
      <c r="H31" s="23" t="s">
        <v>18</v>
      </c>
    </row>
    <row r="32" ht="15.0" customHeight="1">
      <c r="A32" s="17"/>
      <c r="B32" s="18" t="s">
        <v>22</v>
      </c>
      <c r="C32" s="18" t="s">
        <v>23</v>
      </c>
      <c r="D32" s="25" t="s">
        <v>39</v>
      </c>
      <c r="E32" s="25">
        <v>1.0</v>
      </c>
      <c r="F32" s="18">
        <v>100.0</v>
      </c>
      <c r="G32" s="26">
        <v>100.0</v>
      </c>
      <c r="H32" s="23" t="s">
        <v>18</v>
      </c>
    </row>
    <row r="33" ht="15.0" customHeight="1">
      <c r="A33" s="17"/>
      <c r="B33" s="21"/>
      <c r="C33" s="21"/>
      <c r="D33" s="20"/>
      <c r="E33" s="20"/>
      <c r="F33" s="21"/>
      <c r="G33" s="22">
        <f t="shared" ref="G33:G34" si="4">E33*F33</f>
        <v>0</v>
      </c>
      <c r="H33" s="23" t="s">
        <v>18</v>
      </c>
    </row>
    <row r="34" ht="15.0" customHeight="1">
      <c r="A34" s="17"/>
      <c r="B34" s="21"/>
      <c r="C34" s="21"/>
      <c r="D34" s="20"/>
      <c r="E34" s="20"/>
      <c r="F34" s="21"/>
      <c r="G34" s="22">
        <f t="shared" si="4"/>
        <v>0</v>
      </c>
      <c r="H34" s="23" t="s">
        <v>18</v>
      </c>
    </row>
    <row r="35" ht="15.0" customHeight="1">
      <c r="A35" s="17"/>
      <c r="B35" s="37" t="s">
        <v>32</v>
      </c>
      <c r="G35" s="22">
        <f>SUM(G30:G34)</f>
        <v>800</v>
      </c>
      <c r="H35" s="23" t="s">
        <v>18</v>
      </c>
    </row>
    <row r="36" ht="15.0" customHeight="1">
      <c r="A36" s="17"/>
      <c r="B36" s="37" t="s">
        <v>33</v>
      </c>
      <c r="G36" s="38">
        <v>0.25</v>
      </c>
      <c r="H36" s="38"/>
    </row>
    <row r="37" ht="15.0" customHeight="1">
      <c r="A37" s="39"/>
      <c r="B37" s="40" t="s">
        <v>40</v>
      </c>
      <c r="G37" s="22">
        <f>G35*(1+G36)</f>
        <v>1000</v>
      </c>
      <c r="H37" s="23" t="s">
        <v>18</v>
      </c>
    </row>
    <row r="38" ht="15.0" customHeight="1">
      <c r="A38" s="41"/>
      <c r="B38" s="42"/>
      <c r="C38" s="42"/>
      <c r="D38" s="31"/>
      <c r="E38" s="31"/>
      <c r="F38" s="43"/>
      <c r="G38" s="44"/>
      <c r="H38" s="22"/>
    </row>
    <row r="39" ht="15.0" customHeight="1">
      <c r="A39" s="41" t="s">
        <v>41</v>
      </c>
      <c r="B39" s="42" t="s">
        <v>42</v>
      </c>
      <c r="C39" s="28" t="s">
        <v>43</v>
      </c>
      <c r="D39" s="19" t="s">
        <v>44</v>
      </c>
      <c r="E39" s="31">
        <v>1.0</v>
      </c>
      <c r="F39" s="45">
        <v>1000.0</v>
      </c>
      <c r="G39" s="44">
        <f>E39*F39</f>
        <v>1000</v>
      </c>
      <c r="H39" s="23" t="s">
        <v>18</v>
      </c>
    </row>
    <row r="40" ht="15.0" customHeight="1">
      <c r="A40" s="47"/>
      <c r="B40" s="48" t="s">
        <v>45</v>
      </c>
      <c r="C40" s="49"/>
      <c r="D40" s="49"/>
      <c r="E40" s="49"/>
      <c r="F40" s="49"/>
      <c r="G40" s="44">
        <f>G39-G37</f>
        <v>0</v>
      </c>
      <c r="H40" s="23" t="s">
        <v>18</v>
      </c>
    </row>
    <row r="41" ht="15.0" customHeight="1">
      <c r="A41" s="50" t="s">
        <v>46</v>
      </c>
      <c r="B41" s="13" t="s">
        <v>8</v>
      </c>
      <c r="C41" s="13" t="s">
        <v>9</v>
      </c>
      <c r="D41" s="14" t="s">
        <v>10</v>
      </c>
      <c r="E41" s="14" t="s">
        <v>11</v>
      </c>
      <c r="F41" s="15" t="s">
        <v>12</v>
      </c>
      <c r="G41" s="51" t="s">
        <v>13</v>
      </c>
      <c r="H41" s="51" t="s">
        <v>14</v>
      </c>
    </row>
    <row r="42" ht="15.0" customHeight="1">
      <c r="A42" s="17"/>
      <c r="B42" s="30"/>
      <c r="C42" s="21"/>
      <c r="D42" s="31"/>
      <c r="E42" s="20"/>
      <c r="F42" s="30"/>
      <c r="G42" s="24">
        <v>0.0</v>
      </c>
      <c r="H42" s="23" t="s">
        <v>18</v>
      </c>
    </row>
    <row r="43" ht="15.0" customHeight="1">
      <c r="A43" s="17"/>
      <c r="B43" s="21"/>
      <c r="C43" s="21"/>
      <c r="D43" s="20"/>
      <c r="E43" s="20"/>
      <c r="F43" s="21"/>
      <c r="G43" s="22">
        <f t="shared" ref="G43:G45" si="5">E43*F43</f>
        <v>0</v>
      </c>
      <c r="H43" s="23" t="s">
        <v>18</v>
      </c>
    </row>
    <row r="44" ht="15.0" customHeight="1">
      <c r="A44" s="17"/>
      <c r="B44" s="21"/>
      <c r="C44" s="21"/>
      <c r="D44" s="20"/>
      <c r="E44" s="20"/>
      <c r="F44" s="21"/>
      <c r="G44" s="22">
        <f t="shared" si="5"/>
        <v>0</v>
      </c>
      <c r="H44" s="23" t="s">
        <v>18</v>
      </c>
    </row>
    <row r="45" ht="15.0" customHeight="1">
      <c r="A45" s="17"/>
      <c r="B45" s="21"/>
      <c r="C45" s="21"/>
      <c r="D45" s="20"/>
      <c r="E45" s="20"/>
      <c r="F45" s="21"/>
      <c r="G45" s="22">
        <f t="shared" si="5"/>
        <v>0</v>
      </c>
      <c r="H45" s="23" t="s">
        <v>18</v>
      </c>
    </row>
    <row r="46" ht="15.0" customHeight="1">
      <c r="A46" s="17"/>
      <c r="B46" s="37" t="s">
        <v>32</v>
      </c>
      <c r="G46" s="22">
        <f>SUM(G41:G45)</f>
        <v>0</v>
      </c>
      <c r="H46" s="23" t="s">
        <v>18</v>
      </c>
    </row>
    <row r="47" ht="15.0" customHeight="1">
      <c r="A47" s="17"/>
      <c r="B47" s="37" t="s">
        <v>33</v>
      </c>
      <c r="G47" s="38">
        <v>0.25</v>
      </c>
      <c r="H47" s="38"/>
    </row>
    <row r="48" ht="15.0" customHeight="1">
      <c r="A48" s="17"/>
      <c r="B48" s="40" t="s">
        <v>47</v>
      </c>
      <c r="G48" s="22">
        <f>G46*(1+G47)</f>
        <v>0</v>
      </c>
      <c r="H48" s="23" t="s">
        <v>18</v>
      </c>
    </row>
    <row r="49" ht="15.0" customHeight="1">
      <c r="A49" s="41"/>
      <c r="B49" s="42"/>
      <c r="C49" s="42"/>
      <c r="D49" s="31"/>
      <c r="E49" s="31"/>
      <c r="F49" s="43"/>
      <c r="G49" s="44"/>
      <c r="H49" s="22"/>
    </row>
    <row r="50" ht="15.0" customHeight="1">
      <c r="A50" s="41"/>
      <c r="B50" s="42"/>
      <c r="C50" s="42"/>
      <c r="D50" s="31"/>
      <c r="E50" s="31"/>
      <c r="F50" s="43"/>
      <c r="G50" s="44">
        <f>E50*F50</f>
        <v>0</v>
      </c>
      <c r="H50" s="23" t="s">
        <v>18</v>
      </c>
    </row>
    <row r="51" ht="15.0" customHeight="1">
      <c r="A51" s="47"/>
      <c r="B51" s="48" t="s">
        <v>48</v>
      </c>
      <c r="C51" s="49"/>
      <c r="D51" s="49"/>
      <c r="E51" s="49"/>
      <c r="F51" s="49"/>
      <c r="G51" s="44">
        <f>G50-G48</f>
        <v>0</v>
      </c>
      <c r="H51" s="23" t="s">
        <v>18</v>
      </c>
    </row>
    <row r="52" ht="15.0" customHeight="1">
      <c r="A52" s="50" t="s">
        <v>49</v>
      </c>
      <c r="B52" s="13" t="s">
        <v>8</v>
      </c>
      <c r="C52" s="13" t="s">
        <v>9</v>
      </c>
      <c r="D52" s="14" t="s">
        <v>10</v>
      </c>
      <c r="E52" s="14" t="s">
        <v>11</v>
      </c>
      <c r="F52" s="15" t="s">
        <v>12</v>
      </c>
      <c r="G52" s="51" t="s">
        <v>13</v>
      </c>
      <c r="H52" s="51" t="s">
        <v>14</v>
      </c>
    </row>
    <row r="53" ht="15.0" customHeight="1">
      <c r="A53" s="17"/>
      <c r="B53" s="30"/>
      <c r="C53" s="21"/>
      <c r="D53" s="31"/>
      <c r="E53" s="20"/>
      <c r="F53" s="18"/>
      <c r="G53" s="26">
        <v>0.0</v>
      </c>
      <c r="H53" s="23" t="s">
        <v>18</v>
      </c>
    </row>
    <row r="54" ht="15.0" customHeight="1">
      <c r="A54" s="17"/>
      <c r="B54" s="21"/>
      <c r="C54" s="21"/>
      <c r="D54" s="20"/>
      <c r="E54" s="20"/>
      <c r="F54" s="21"/>
      <c r="G54" s="22">
        <f t="shared" ref="G54:G56" si="6">E54*F54</f>
        <v>0</v>
      </c>
      <c r="H54" s="23" t="s">
        <v>18</v>
      </c>
    </row>
    <row r="55" ht="15.0" customHeight="1">
      <c r="A55" s="17"/>
      <c r="B55" s="21"/>
      <c r="C55" s="21"/>
      <c r="D55" s="20"/>
      <c r="E55" s="20"/>
      <c r="F55" s="21"/>
      <c r="G55" s="22">
        <f t="shared" si="6"/>
        <v>0</v>
      </c>
      <c r="H55" s="23" t="s">
        <v>18</v>
      </c>
    </row>
    <row r="56" ht="15.0" customHeight="1">
      <c r="A56" s="17"/>
      <c r="B56" s="21"/>
      <c r="C56" s="21"/>
      <c r="D56" s="20"/>
      <c r="E56" s="20"/>
      <c r="F56" s="21"/>
      <c r="G56" s="22">
        <f t="shared" si="6"/>
        <v>0</v>
      </c>
      <c r="H56" s="23" t="s">
        <v>18</v>
      </c>
    </row>
    <row r="57" ht="15.0" customHeight="1">
      <c r="A57" s="17"/>
      <c r="B57" s="37" t="s">
        <v>32</v>
      </c>
      <c r="G57" s="22">
        <f>SUM(G52:G56)</f>
        <v>0</v>
      </c>
      <c r="H57" s="23" t="s">
        <v>18</v>
      </c>
    </row>
    <row r="58" ht="15.0" customHeight="1">
      <c r="A58" s="17"/>
      <c r="B58" s="37" t="s">
        <v>33</v>
      </c>
      <c r="G58" s="38">
        <v>0.25</v>
      </c>
      <c r="H58" s="38"/>
    </row>
    <row r="59" ht="15.0" customHeight="1">
      <c r="A59" s="17"/>
      <c r="B59" s="40" t="s">
        <v>50</v>
      </c>
      <c r="G59" s="22">
        <f>G57*(1+G58)</f>
        <v>0</v>
      </c>
      <c r="H59" s="23" t="s">
        <v>18</v>
      </c>
    </row>
    <row r="60" ht="15.0" customHeight="1">
      <c r="A60" s="41"/>
      <c r="B60" s="30"/>
      <c r="C60" s="21"/>
      <c r="D60" s="31"/>
      <c r="E60" s="20"/>
      <c r="F60" s="21"/>
      <c r="G60" s="22"/>
      <c r="H60" s="34"/>
    </row>
    <row r="61" ht="15.0" customHeight="1">
      <c r="A61" s="41"/>
      <c r="B61" s="30"/>
      <c r="C61" s="21"/>
      <c r="D61" s="31"/>
      <c r="E61" s="20"/>
      <c r="F61" s="21"/>
      <c r="G61" s="22">
        <f>E61*F61</f>
        <v>0</v>
      </c>
      <c r="H61" s="23" t="s">
        <v>18</v>
      </c>
    </row>
    <row r="62" ht="15.0" customHeight="1">
      <c r="A62" s="17"/>
      <c r="B62" s="52" t="s">
        <v>51</v>
      </c>
      <c r="G62" s="44">
        <f>G61-G59</f>
        <v>0</v>
      </c>
      <c r="H62" s="23" t="s">
        <v>18</v>
      </c>
    </row>
    <row r="63" ht="15.0" customHeight="1">
      <c r="A63" s="53"/>
      <c r="B63" s="54"/>
      <c r="C63" s="54"/>
      <c r="D63" s="54"/>
      <c r="E63" s="54"/>
      <c r="F63" s="54"/>
      <c r="G63" s="55"/>
      <c r="H63" s="56"/>
    </row>
    <row r="64" ht="15.0" customHeight="1">
      <c r="A64" s="9" t="s">
        <v>52</v>
      </c>
      <c r="B64" s="10"/>
      <c r="C64" s="10"/>
      <c r="D64" s="10"/>
      <c r="E64" s="10"/>
      <c r="F64" s="10"/>
      <c r="G64" s="10"/>
      <c r="H64" s="11"/>
    </row>
    <row r="65" ht="15.0" customHeight="1">
      <c r="A65" s="57"/>
      <c r="B65" s="49"/>
      <c r="C65" s="49"/>
      <c r="D65" s="49"/>
      <c r="E65" s="49"/>
      <c r="F65" s="49"/>
      <c r="G65" s="49"/>
      <c r="H65" s="58"/>
    </row>
    <row r="66" ht="15.0" customHeight="1">
      <c r="A66" s="9"/>
      <c r="B66" s="10"/>
      <c r="C66" s="10"/>
      <c r="D66" s="10"/>
      <c r="E66" s="10"/>
      <c r="F66" s="10"/>
      <c r="G66" s="10"/>
      <c r="H66" s="11"/>
    </row>
    <row r="67" ht="15.0" customHeight="1">
      <c r="A67" s="50" t="s">
        <v>53</v>
      </c>
      <c r="B67" s="13" t="s">
        <v>8</v>
      </c>
      <c r="C67" s="13" t="s">
        <v>9</v>
      </c>
      <c r="D67" s="14" t="s">
        <v>10</v>
      </c>
      <c r="E67" s="59" t="s">
        <v>54</v>
      </c>
      <c r="F67" s="15" t="s">
        <v>12</v>
      </c>
      <c r="G67" s="51" t="s">
        <v>13</v>
      </c>
      <c r="H67" s="51" t="s">
        <v>14</v>
      </c>
    </row>
    <row r="68" ht="15.0" customHeight="1">
      <c r="A68" s="60" t="s">
        <v>55</v>
      </c>
      <c r="B68" s="42" t="s">
        <v>56</v>
      </c>
      <c r="C68" s="19" t="s">
        <v>57</v>
      </c>
      <c r="D68" s="31" t="s">
        <v>58</v>
      </c>
      <c r="E68" s="19" t="s">
        <v>59</v>
      </c>
      <c r="F68" s="45">
        <v>2000.0</v>
      </c>
      <c r="G68" s="61">
        <v>2000.0</v>
      </c>
      <c r="H68" s="62" t="s">
        <v>18</v>
      </c>
    </row>
    <row r="69" ht="15.0" customHeight="1">
      <c r="A69" s="63"/>
      <c r="B69" s="42"/>
      <c r="C69" s="42"/>
      <c r="D69" s="31"/>
      <c r="E69" s="31"/>
      <c r="F69" s="43"/>
      <c r="G69" s="44"/>
      <c r="H69" s="64"/>
    </row>
    <row r="70" ht="15.0" customHeight="1">
      <c r="A70" s="65" t="s">
        <v>60</v>
      </c>
      <c r="B70" s="42"/>
      <c r="C70" s="42"/>
      <c r="D70" s="31"/>
      <c r="E70" s="31"/>
      <c r="F70" s="43"/>
      <c r="G70" s="44">
        <f>E70*F70</f>
        <v>0</v>
      </c>
      <c r="H70" s="23" t="s">
        <v>18</v>
      </c>
    </row>
    <row r="71" ht="15.0" customHeight="1">
      <c r="A71" s="66"/>
      <c r="B71" s="42" t="s">
        <v>42</v>
      </c>
      <c r="C71" s="28" t="s">
        <v>43</v>
      </c>
      <c r="D71" s="19" t="s">
        <v>61</v>
      </c>
      <c r="E71" s="31">
        <v>1.0</v>
      </c>
      <c r="F71" s="45">
        <v>1000.0</v>
      </c>
      <c r="G71" s="46">
        <v>1000.0</v>
      </c>
      <c r="H71" s="23" t="s">
        <v>18</v>
      </c>
    </row>
    <row r="72" ht="15.0" customHeight="1">
      <c r="A72" s="66"/>
      <c r="B72" s="30"/>
      <c r="C72" s="21"/>
      <c r="D72" s="31"/>
      <c r="E72" s="20"/>
      <c r="F72" s="21"/>
      <c r="G72" s="22">
        <f>E72*F72</f>
        <v>0</v>
      </c>
      <c r="H72" s="23" t="s">
        <v>18</v>
      </c>
    </row>
    <row r="73" ht="15.0" customHeight="1">
      <c r="A73" s="63"/>
      <c r="B73" s="52" t="s">
        <v>62</v>
      </c>
      <c r="G73" s="67">
        <f>G68-sum(G70:G72)</f>
        <v>1000</v>
      </c>
      <c r="H73" s="62" t="s">
        <v>18</v>
      </c>
    </row>
    <row r="74" ht="15.0" customHeight="1">
      <c r="A74" s="63"/>
      <c r="B74" s="4"/>
      <c r="C74" s="4"/>
      <c r="D74" s="33"/>
      <c r="E74" s="33"/>
      <c r="F74" s="33"/>
      <c r="G74" s="68"/>
      <c r="H74" s="69"/>
    </row>
    <row r="75" ht="15.0" customHeight="1">
      <c r="A75" s="50" t="s">
        <v>63</v>
      </c>
      <c r="B75" s="13" t="s">
        <v>8</v>
      </c>
      <c r="C75" s="13" t="s">
        <v>9</v>
      </c>
      <c r="D75" s="14" t="s">
        <v>10</v>
      </c>
      <c r="E75" s="59" t="s">
        <v>54</v>
      </c>
      <c r="F75" s="15" t="s">
        <v>12</v>
      </c>
      <c r="G75" s="51" t="s">
        <v>13</v>
      </c>
      <c r="H75" s="51" t="s">
        <v>14</v>
      </c>
    </row>
    <row r="76" ht="15.0" customHeight="1">
      <c r="A76" s="60"/>
      <c r="B76" s="42"/>
      <c r="C76" s="31"/>
      <c r="D76" s="31"/>
      <c r="E76" s="31"/>
      <c r="F76" s="43"/>
      <c r="G76" s="67">
        <v>500.0</v>
      </c>
      <c r="H76" s="62" t="s">
        <v>18</v>
      </c>
    </row>
    <row r="77" ht="15.0" customHeight="1">
      <c r="A77" s="63"/>
      <c r="B77" s="42"/>
      <c r="C77" s="42"/>
      <c r="D77" s="31"/>
      <c r="E77" s="31"/>
      <c r="F77" s="43"/>
      <c r="G77" s="44"/>
      <c r="H77" s="64"/>
    </row>
    <row r="78" ht="15.0" customHeight="1">
      <c r="A78" s="65"/>
      <c r="B78" s="42"/>
      <c r="C78" s="42"/>
      <c r="D78" s="31"/>
      <c r="E78" s="31"/>
      <c r="F78" s="43"/>
      <c r="G78" s="44">
        <f>E78*F78</f>
        <v>0</v>
      </c>
      <c r="H78" s="23" t="s">
        <v>18</v>
      </c>
    </row>
    <row r="79" ht="15.0" customHeight="1">
      <c r="A79" s="66"/>
      <c r="B79" s="42"/>
      <c r="C79" s="42"/>
      <c r="D79" s="31"/>
      <c r="E79" s="31"/>
      <c r="F79" s="43"/>
      <c r="G79" s="44"/>
      <c r="H79" s="23"/>
    </row>
    <row r="80" ht="15.0" customHeight="1">
      <c r="A80" s="66"/>
      <c r="B80" s="30"/>
      <c r="C80" s="21"/>
      <c r="D80" s="31"/>
      <c r="E80" s="20"/>
      <c r="F80" s="21"/>
      <c r="G80" s="22"/>
      <c r="H80" s="23"/>
    </row>
    <row r="81" ht="15.0" customHeight="1">
      <c r="A81" s="63"/>
      <c r="B81" s="52" t="s">
        <v>64</v>
      </c>
      <c r="G81" s="67">
        <f>G76-sum(G78:G80)</f>
        <v>500</v>
      </c>
      <c r="H81" s="62" t="s">
        <v>18</v>
      </c>
    </row>
    <row r="82" ht="15.0" customHeight="1">
      <c r="A82" s="39"/>
      <c r="B82" s="30"/>
      <c r="C82" s="21"/>
      <c r="D82" s="70"/>
      <c r="E82" s="31"/>
      <c r="F82" s="30"/>
      <c r="G82" s="22"/>
      <c r="H82" s="71"/>
    </row>
    <row r="83" ht="15.0" customHeight="1">
      <c r="A83" s="9"/>
      <c r="B83" s="10"/>
      <c r="C83" s="10"/>
      <c r="D83" s="10"/>
      <c r="E83" s="10"/>
      <c r="F83" s="10"/>
      <c r="G83" s="72"/>
      <c r="H83" s="72"/>
    </row>
    <row r="84" ht="15.0" customHeight="1">
      <c r="A84" s="73"/>
      <c r="B84" s="74" t="s">
        <v>8</v>
      </c>
      <c r="C84" s="74" t="s">
        <v>9</v>
      </c>
      <c r="D84" s="75" t="s">
        <v>10</v>
      </c>
      <c r="E84" s="75"/>
      <c r="F84" s="76" t="s">
        <v>65</v>
      </c>
      <c r="G84" s="77" t="s">
        <v>66</v>
      </c>
      <c r="H84" s="78"/>
    </row>
    <row r="85" ht="15.0" customHeight="1">
      <c r="A85" s="17"/>
      <c r="B85" s="21"/>
      <c r="C85" s="21"/>
      <c r="D85" s="31"/>
      <c r="E85" s="20"/>
      <c r="F85" s="27">
        <v>0.0</v>
      </c>
      <c r="G85" s="22">
        <f>sum(G78:G80)</f>
        <v>0</v>
      </c>
      <c r="H85" s="22"/>
    </row>
    <row r="86" ht="15.0" customHeight="1">
      <c r="A86" s="17"/>
      <c r="B86" s="21"/>
      <c r="C86" s="21"/>
      <c r="D86" s="20"/>
      <c r="E86" s="20"/>
      <c r="F86" s="37" t="s">
        <v>67</v>
      </c>
      <c r="G86" s="26">
        <v>0.0</v>
      </c>
      <c r="H86" s="23" t="s">
        <v>68</v>
      </c>
    </row>
    <row r="87" ht="15.0" customHeight="1">
      <c r="A87" s="79" t="s">
        <v>69</v>
      </c>
      <c r="G87" s="80"/>
      <c r="H87" s="80"/>
    </row>
    <row r="88" ht="15.0" customHeight="1">
      <c r="A88" s="81"/>
    </row>
    <row r="89" ht="15.0" customHeight="1">
      <c r="A89" s="82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H1"/>
    <mergeCell ref="A7:H7"/>
    <mergeCell ref="A16:H16"/>
    <mergeCell ref="B23:F23"/>
    <mergeCell ref="B24:F24"/>
    <mergeCell ref="B25:F25"/>
    <mergeCell ref="B28:F28"/>
    <mergeCell ref="B35:F35"/>
    <mergeCell ref="B36:F36"/>
    <mergeCell ref="B37:F37"/>
    <mergeCell ref="B40:F40"/>
    <mergeCell ref="B46:F46"/>
    <mergeCell ref="B47:F47"/>
    <mergeCell ref="B48:F48"/>
    <mergeCell ref="B51:F51"/>
    <mergeCell ref="B57:F57"/>
    <mergeCell ref="B58:F58"/>
    <mergeCell ref="B59:F59"/>
    <mergeCell ref="B62:F62"/>
    <mergeCell ref="A64:H64"/>
    <mergeCell ref="A65:H65"/>
    <mergeCell ref="A88:H88"/>
    <mergeCell ref="A89:H89"/>
    <mergeCell ref="A66:H66"/>
    <mergeCell ref="A70:A72"/>
    <mergeCell ref="B73:F73"/>
    <mergeCell ref="A78:A80"/>
    <mergeCell ref="B81:F81"/>
    <mergeCell ref="A83:F83"/>
    <mergeCell ref="A87:F87"/>
  </mergeCells>
  <conditionalFormatting sqref="G28 G40 G51 G62">
    <cfRule type="cellIs" dxfId="0" priority="1" operator="lessThan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