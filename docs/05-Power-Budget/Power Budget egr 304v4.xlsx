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lex_\Documents\"/>
    </mc:Choice>
  </mc:AlternateContent>
  <xr:revisionPtr revIDLastSave="0" documentId="8_{BEA98622-9C62-4676-8B40-3A9575DAF65A}" xr6:coauthVersionLast="47" xr6:coauthVersionMax="47" xr10:uidLastSave="{00000000-0000-0000-0000-000000000000}"/>
  <bookViews>
    <workbookView xWindow="-120" yWindow="-120" windowWidth="38640" windowHeight="21240" xr2:uid="{00000000-000D-0000-FFFF-FFFF00000000}"/>
  </bookViews>
  <sheets>
    <sheet name="Power Budget"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 r="G14" i="1"/>
  <c r="G13" i="1"/>
  <c r="G19" i="1"/>
  <c r="G35" i="1" l="1"/>
  <c r="G36" i="1"/>
  <c r="G39" i="1" s="1"/>
  <c r="G20" i="1"/>
  <c r="G22" i="1"/>
  <c r="G12" i="1"/>
  <c r="G10" i="1"/>
  <c r="G11" i="1"/>
  <c r="G38" i="1"/>
  <c r="G37" i="1"/>
  <c r="G27" i="1"/>
  <c r="G18" i="1"/>
  <c r="G17" i="1"/>
  <c r="G9" i="1"/>
  <c r="G23" i="1" l="1"/>
  <c r="G25" i="1" s="1"/>
  <c r="G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<sst xmlns="http://schemas.openxmlformats.org/spreadsheetml/2006/main" count="114" uniqueCount="59">
  <si>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</si>
  <si>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</si>
  <si>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</si>
  <si>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</si>
  <si>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</si>
  <si>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</si>
  <si>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</si>
  <si>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</si>
  <si>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</si>
  <si>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</si>
  <si>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</si>
  <si>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</si>
  <si>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</si>
  <si>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</si>
  <si>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Opamp</t>
  </si>
  <si>
    <t xml:space="preserve">Subtotal </t>
  </si>
  <si>
    <t>Safety Margin</t>
  </si>
  <si>
    <t xml:space="preserve"> +5V Power Rail</t>
  </si>
  <si>
    <t>Total Current Required on +5V Rail</t>
  </si>
  <si>
    <t>c2. Regulator or Source Choice</t>
  </si>
  <si>
    <t xml:space="preserve"> +5V Regulator</t>
  </si>
  <si>
    <t>Total Remaining Current Available on +5V Rail</t>
  </si>
  <si>
    <t>-5V Power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</si>
  <si>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</si>
  <si>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</si>
  <si>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</si>
  <si>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</si>
  <si>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</si>
  <si>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</si>
  <si>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</si>
  <si>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</si>
  <si>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</si>
  <si>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</si>
  <si>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</si>
  <si>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Ayush, Armando, Manny</t>
  </si>
  <si>
    <t>Microphone</t>
  </si>
  <si>
    <t>MCP6004</t>
  </si>
  <si>
    <t>LM7805</t>
  </si>
  <si>
    <t xml:space="preserve"> +1.8 - 6V</t>
  </si>
  <si>
    <t xml:space="preserve"> +7V - 25V</t>
  </si>
  <si>
    <t>MO093803-1</t>
  </si>
  <si>
    <t xml:space="preserve"> +3 -10V</t>
  </si>
  <si>
    <t>Analog switch relay</t>
  </si>
  <si>
    <t>PIC18F57Q43</t>
  </si>
  <si>
    <t>Curiosity Nano</t>
  </si>
  <si>
    <t xml:space="preserve"> +1.8 - 5.5V</t>
  </si>
  <si>
    <t>120VAC</t>
  </si>
  <si>
    <t>5V+Voltage Regulator</t>
  </si>
  <si>
    <t>CD4066B</t>
  </si>
  <si>
    <t xml:space="preserve"> -0.5 - 20V+</t>
  </si>
  <si>
    <t>LED</t>
  </si>
  <si>
    <t>B. Assign each major component above to ONE power rail below. Try to minimize the number of different power rails in the design. 
Add additional power rails or change the power rail voltages if needed.</t>
  </si>
  <si>
    <t>151031VS06000</t>
  </si>
  <si>
    <t xml:space="preserve"> +5V</t>
  </si>
  <si>
    <t>Spark Guard</t>
  </si>
  <si>
    <t>Generic</t>
  </si>
  <si>
    <t>Power Budget: Audio Detection Sensor</t>
  </si>
  <si>
    <t>V4</t>
  </si>
  <si>
    <t xml:space="preserve"> +4.8V - 5.1V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</si>
</sst>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
      <sz val="9"/>
      <color rgb="FF000000"/>
      <name val="Helvetica"/>
    </font>
    <font>
      <sz val="12"/>
      <color rgb="FF000000"/>
      <name val="Calibri"/>
      <family val="2"/>
    </font>
    <font>
      <sz val="12"/>
      <color rgb="FF000000"/>
      <name val="Arial"/>
      <family val="2"/>
    </font>
    <font>
      <b/>
      <sz val="12"/>
      <color rgb="FF000000"/>
      <name val="Calibri"/>
      <family val="2"/>
    </font>
    <font>
      <b/>
      <sz val="24"/>
      <color rgb="FF000000"/>
      <name val="Calibri"/>
      <family val="2"/>
    </font>
    <font>
      <sz val="8"/>
      <name val="Calibri"/>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1">
    <xf numFmtId="0" fontId="0" fillId="0" borderId="0" xfId="0"/>
    <xf numFmtId="0" fontId="1" fillId="0" borderId="1" xfId="0" applyFont="1" applyBorder="1"/>
    <xf numFmtId="0" fontId="2"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3" fillId="0" borderId="0" xfId="0" applyFont="1" applyAlignment="1">
      <alignment horizontal="center"/>
    </xf>
    <xf numFmtId="0" fontId="4" fillId="3" borderId="10" xfId="0" applyFont="1" applyFill="1" applyBorder="1"/>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0" fillId="2" borderId="0" xfId="0" applyFill="1"/>
    <xf numFmtId="0" fontId="8" fillId="0" borderId="0" xfId="0" applyFont="1"/>
    <xf numFmtId="0" fontId="9" fillId="0" borderId="0" xfId="0" applyFont="1"/>
    <xf numFmtId="0" fontId="10" fillId="0" borderId="0" xfId="0" applyFont="1" applyAlignment="1">
      <alignment horizontal="center"/>
    </xf>
    <xf numFmtId="0" fontId="11" fillId="0" borderId="1" xfId="0" applyFont="1" applyBorder="1"/>
    <xf numFmtId="0" fontId="9" fillId="0" borderId="0" xfId="0" applyFont="1" applyAlignment="1">
      <alignment horizontal="right"/>
    </xf>
    <xf numFmtId="49" fontId="4" fillId="0" borderId="12" xfId="0" applyNumberFormat="1" applyFont="1" applyBorder="1" applyAlignment="1">
      <alignment horizontal="right"/>
    </xf>
    <xf numFmtId="0" fontId="2" fillId="0" borderId="12" xfId="0" applyFont="1" applyBorder="1"/>
    <xf numFmtId="0" fontId="4" fillId="2" borderId="2" xfId="0" applyFont="1" applyFill="1" applyBorder="1" applyAlignment="1">
      <alignment wrapText="1"/>
    </xf>
    <xf numFmtId="0" fontId="2" fillId="0" borderId="3" xfId="0" applyFont="1" applyBorder="1"/>
    <xf numFmtId="0" fontId="2" fillId="0" borderId="4" xfId="0" applyFont="1" applyBorder="1"/>
    <xf numFmtId="0" fontId="4" fillId="0" borderId="11" xfId="0" applyFont="1" applyBorder="1" applyAlignment="1">
      <alignment wrapText="1"/>
    </xf>
    <xf numFmtId="0" fontId="2" fillId="0" borderId="13" xfId="0" applyFont="1" applyBorder="1"/>
    <xf numFmtId="0" fontId="5" fillId="0" borderId="0" xfId="0" applyFont="1" applyAlignment="1">
      <alignment wrapText="1"/>
    </xf>
    <xf numFmtId="0" fontId="0" fillId="0" borderId="0" xfId="0"/>
    <xf numFmtId="0" fontId="7" fillId="4" borderId="0" xfId="0" applyFont="1" applyFill="1" applyAlignment="1">
      <alignment horizontal="left" wrapText="1"/>
    </xf>
    <xf numFmtId="0" fontId="3" fillId="0" borderId="8" xfId="0" applyFont="1" applyBorder="1" applyAlignment="1">
      <alignment horizontal="left" vertical="center" wrapText="1"/>
    </xf>
    <xf numFmtId="0" fontId="2" fillId="0" borderId="8" xfId="0" applyFont="1" applyBorder="1"/>
    <xf numFmtId="49" fontId="4" fillId="0" borderId="0" xfId="0" applyNumberFormat="1" applyFont="1" applyAlignment="1">
      <alignment horizontal="right"/>
    </xf>
    <xf numFmtId="0" fontId="4" fillId="2" borderId="0" xfId="0" applyFont="1" applyFill="1"/>
    <xf numFmtId="0" fontId="12" fillId="0" borderId="0" xfId="0" applyFont="1" applyAlignment="1">
      <alignment horizontal="center"/>
    </xf>
    <xf numFmtId="0" fontId="6" fillId="0" borderId="0" xfId="0" applyFont="1" applyAlignment="1">
      <alignment horizontal="right"/>
    </xf>
    <xf numFmtId="0" fontId="4" fillId="0" borderId="0" xfId="0" applyFont="1" applyAlignment="1">
      <alignment horizontal="right"/>
    </xf>
    <xf numFmtId="0" fontId="4" fillId="2" borderId="10" xfId="0" applyFont="1" applyFill="1" applyBorder="1" applyAlignment="1">
      <alignment wrapText="1"/>
    </xf>
    <xf numFmtId="0" fontId="2" fillId="0" borderId="6" xfId="0" applyFont="1" applyBorder="1"/>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0"/>
  <sheetViews>
    <sheetView tabSelected="1" zoomScale="115" zoomScaleNormal="115" workbookViewId="0">
      <selection activeCell="M13" sqref="M13"/>
    </sheetView>
  </sheetViews>
  <sheetFormatPr defaultColWidth="13.5" defaultRowHeight="15.75" customHeight="1" x14ac:dyDescent="0.25"/>
  <cols>
    <col min="1" max="1" width="26.125" customWidth="1"/>
    <col min="2" max="2" width="23.125" customWidth="1"/>
    <col min="3" max="3" width="18" customWidth="1"/>
    <col min="4" max="4" width="24.75" bestFit="1" customWidth="1"/>
    <col min="5" max="5" width="6.875" customWidth="1"/>
    <col min="6" max="6" width="34.625" bestFit="1" customWidth="1"/>
    <col min="7" max="7" width="26.5" bestFit="1" customWidth="1"/>
    <col min="8" max="8" width="9" customWidth="1"/>
  </cols>
  <sheetData>
    <row r="1" spans="1:8" ht="30" customHeight="1" x14ac:dyDescent="0.5">
      <c r="A1" s="56" t="s">
        <v>56</v>
      </c>
      <c r="B1" s="50"/>
      <c r="C1" s="50"/>
      <c r="D1" s="50"/>
      <c r="E1" s="50"/>
      <c r="F1" s="50"/>
      <c r="G1" s="50"/>
      <c r="H1" s="50"/>
    </row>
    <row r="2" spans="1:8" ht="15" customHeight="1" x14ac:dyDescent="0.25">
      <c r="A2" s="1" t="s">
        <v>0</v>
      </c>
      <c r="B2" s="2">
        <v>203</v>
      </c>
      <c r="D2" s="3"/>
      <c r="E2" s="3"/>
    </row>
    <row r="3" spans="1:8" ht="15" customHeight="1" x14ac:dyDescent="0.25">
      <c r="A3" s="4" t="s">
        <v>1</v>
      </c>
      <c r="B3" s="40" t="s">
        <v>54</v>
      </c>
      <c r="C3" s="5"/>
      <c r="D3" s="3"/>
      <c r="E3" s="3"/>
      <c r="F3" s="5"/>
      <c r="G3" s="5"/>
      <c r="H3" s="5"/>
    </row>
    <row r="4" spans="1:8" ht="15" customHeight="1" x14ac:dyDescent="0.25">
      <c r="A4" s="4" t="s">
        <v>2</v>
      </c>
      <c r="B4" s="40" t="s">
        <v>34</v>
      </c>
      <c r="C4" s="5"/>
      <c r="D4" s="3"/>
      <c r="E4" s="3"/>
      <c r="F4" s="5"/>
      <c r="G4" s="5"/>
      <c r="H4" s="5"/>
    </row>
    <row r="5" spans="1:8" ht="15" customHeight="1" x14ac:dyDescent="0.25">
      <c r="A5" s="4" t="s">
        <v>3</v>
      </c>
      <c r="B5" s="40" t="s">
        <v>57</v>
      </c>
      <c r="C5" s="5"/>
      <c r="D5" s="3"/>
      <c r="E5" s="3"/>
      <c r="F5" s="5"/>
      <c r="G5" s="5"/>
      <c r="H5" s="5"/>
    </row>
    <row r="6" spans="1:8" ht="15" customHeight="1" x14ac:dyDescent="0.25">
      <c r="A6" s="6"/>
      <c r="B6" s="5"/>
      <c r="C6" s="5"/>
      <c r="D6" s="3"/>
      <c r="E6" s="3"/>
      <c r="F6" s="5"/>
      <c r="G6" s="5"/>
      <c r="H6" s="5"/>
    </row>
    <row r="7" spans="1:8" ht="15" customHeight="1" x14ac:dyDescent="0.25">
      <c r="A7" s="44" t="s">
        <v>4</v>
      </c>
      <c r="B7" s="45"/>
      <c r="C7" s="45"/>
      <c r="D7" s="45"/>
      <c r="E7" s="45"/>
      <c r="F7" s="45"/>
      <c r="G7" s="45"/>
      <c r="H7" s="46"/>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35</v>
      </c>
      <c r="C9" t="s">
        <v>40</v>
      </c>
      <c r="D9" s="13" t="s">
        <v>41</v>
      </c>
      <c r="E9" s="14">
        <v>1</v>
      </c>
      <c r="F9">
        <v>0.5</v>
      </c>
      <c r="G9" s="15">
        <f t="shared" ref="G9" si="0">E9*F9</f>
        <v>0.5</v>
      </c>
      <c r="H9" s="16" t="s">
        <v>13</v>
      </c>
    </row>
    <row r="10" spans="1:8" ht="15" customHeight="1" x14ac:dyDescent="0.25">
      <c r="A10" s="12"/>
      <c r="B10" t="s">
        <v>14</v>
      </c>
      <c r="C10" t="s">
        <v>36</v>
      </c>
      <c r="D10" s="13" t="s">
        <v>38</v>
      </c>
      <c r="E10" s="14">
        <v>1</v>
      </c>
      <c r="F10">
        <v>30</v>
      </c>
      <c r="G10" s="15">
        <f>E10*F10</f>
        <v>30</v>
      </c>
      <c r="H10" s="16" t="s">
        <v>13</v>
      </c>
    </row>
    <row r="11" spans="1:8" ht="15" customHeight="1" x14ac:dyDescent="0.25">
      <c r="A11" s="12"/>
      <c r="B11" s="38" t="s">
        <v>47</v>
      </c>
      <c r="C11" s="38" t="s">
        <v>37</v>
      </c>
      <c r="D11" s="13" t="s">
        <v>39</v>
      </c>
      <c r="E11" s="14">
        <v>1</v>
      </c>
      <c r="F11" s="41">
        <v>1000</v>
      </c>
      <c r="G11" s="15">
        <f>E11*F11</f>
        <v>1000</v>
      </c>
      <c r="H11" s="16" t="s">
        <v>13</v>
      </c>
    </row>
    <row r="12" spans="1:8" ht="15" customHeight="1" x14ac:dyDescent="0.25">
      <c r="A12" s="12"/>
      <c r="B12" s="38" t="s">
        <v>44</v>
      </c>
      <c r="C12" s="38" t="s">
        <v>43</v>
      </c>
      <c r="D12" s="39" t="s">
        <v>45</v>
      </c>
      <c r="E12" s="14">
        <v>1</v>
      </c>
      <c r="F12">
        <v>100</v>
      </c>
      <c r="G12" s="15">
        <f>E12*F12</f>
        <v>100</v>
      </c>
      <c r="H12" s="16" t="s">
        <v>13</v>
      </c>
    </row>
    <row r="13" spans="1:8" x14ac:dyDescent="0.25">
      <c r="A13" s="12"/>
      <c r="B13" t="s">
        <v>42</v>
      </c>
      <c r="C13" s="38" t="s">
        <v>48</v>
      </c>
      <c r="D13" s="39" t="s">
        <v>49</v>
      </c>
      <c r="E13" s="14">
        <v>1</v>
      </c>
      <c r="F13">
        <v>30</v>
      </c>
      <c r="G13" s="15">
        <f>E13*F13</f>
        <v>30</v>
      </c>
      <c r="H13" s="16" t="s">
        <v>13</v>
      </c>
    </row>
    <row r="14" spans="1:8" ht="15" customHeight="1" x14ac:dyDescent="0.25">
      <c r="A14" s="12"/>
      <c r="B14" t="s">
        <v>50</v>
      </c>
      <c r="C14" s="38" t="s">
        <v>52</v>
      </c>
      <c r="D14" s="39" t="s">
        <v>53</v>
      </c>
      <c r="E14" s="14">
        <v>3</v>
      </c>
      <c r="F14">
        <v>30</v>
      </c>
      <c r="G14" s="15">
        <f>E14*F14</f>
        <v>90</v>
      </c>
      <c r="H14" s="16" t="s">
        <v>13</v>
      </c>
    </row>
    <row r="15" spans="1:8" ht="15" customHeight="1" x14ac:dyDescent="0.25">
      <c r="A15" s="59" t="s">
        <v>51</v>
      </c>
      <c r="B15" s="60"/>
      <c r="C15" s="60"/>
      <c r="D15" s="60"/>
      <c r="E15" s="60"/>
      <c r="F15" s="60"/>
      <c r="G15" s="60"/>
      <c r="H15" s="46"/>
    </row>
    <row r="16" spans="1:8" ht="15" customHeight="1" x14ac:dyDescent="0.25">
      <c r="A16" s="19" t="s">
        <v>17</v>
      </c>
      <c r="B16" s="8" t="s">
        <v>6</v>
      </c>
      <c r="C16" s="8" t="s">
        <v>7</v>
      </c>
      <c r="D16" s="9" t="s">
        <v>8</v>
      </c>
      <c r="E16" s="9" t="s">
        <v>9</v>
      </c>
      <c r="F16" s="10" t="s">
        <v>10</v>
      </c>
      <c r="G16" s="27" t="s">
        <v>11</v>
      </c>
      <c r="H16" s="27" t="s">
        <v>12</v>
      </c>
    </row>
    <row r="17" spans="1:8" ht="15" customHeight="1" x14ac:dyDescent="0.25">
      <c r="A17" s="12"/>
      <c r="B17" t="s">
        <v>35</v>
      </c>
      <c r="C17" t="s">
        <v>40</v>
      </c>
      <c r="D17" s="13" t="s">
        <v>41</v>
      </c>
      <c r="E17" s="14">
        <v>1</v>
      </c>
      <c r="F17">
        <v>0.5</v>
      </c>
      <c r="G17" s="15">
        <f t="shared" ref="G17:G22" si="1">E17*F17</f>
        <v>0.5</v>
      </c>
      <c r="H17" s="16" t="s">
        <v>13</v>
      </c>
    </row>
    <row r="18" spans="1:8" ht="15" customHeight="1" x14ac:dyDescent="0.25">
      <c r="A18" s="12"/>
      <c r="B18" t="s">
        <v>14</v>
      </c>
      <c r="C18" t="s">
        <v>36</v>
      </c>
      <c r="D18" s="13" t="s">
        <v>38</v>
      </c>
      <c r="E18" s="14">
        <v>1</v>
      </c>
      <c r="F18">
        <v>30</v>
      </c>
      <c r="G18" s="15">
        <f t="shared" si="1"/>
        <v>30</v>
      </c>
      <c r="H18" s="16" t="s">
        <v>13</v>
      </c>
    </row>
    <row r="19" spans="1:8" ht="15" customHeight="1" x14ac:dyDescent="0.25">
      <c r="A19" s="12"/>
      <c r="B19" t="s">
        <v>42</v>
      </c>
      <c r="C19" s="38" t="s">
        <v>48</v>
      </c>
      <c r="D19" s="39" t="s">
        <v>49</v>
      </c>
      <c r="E19" s="14">
        <v>1</v>
      </c>
      <c r="F19">
        <v>30</v>
      </c>
      <c r="G19" s="15">
        <f>E19*F19</f>
        <v>30</v>
      </c>
      <c r="H19" s="16" t="s">
        <v>13</v>
      </c>
    </row>
    <row r="20" spans="1:8" ht="15" customHeight="1" x14ac:dyDescent="0.25">
      <c r="A20" s="12"/>
      <c r="B20" t="s">
        <v>50</v>
      </c>
      <c r="C20" s="38" t="s">
        <v>52</v>
      </c>
      <c r="D20" s="39" t="s">
        <v>53</v>
      </c>
      <c r="E20" s="14">
        <v>3</v>
      </c>
      <c r="F20">
        <v>30</v>
      </c>
      <c r="G20" s="15">
        <f t="shared" si="1"/>
        <v>90</v>
      </c>
      <c r="H20" s="16" t="s">
        <v>13</v>
      </c>
    </row>
    <row r="21" spans="1:8" ht="15" customHeight="1" x14ac:dyDescent="0.25">
      <c r="A21" s="12"/>
      <c r="B21" s="38" t="s">
        <v>44</v>
      </c>
      <c r="C21" s="38" t="s">
        <v>43</v>
      </c>
      <c r="D21" s="39" t="s">
        <v>45</v>
      </c>
      <c r="E21" s="14">
        <v>1</v>
      </c>
      <c r="F21">
        <v>100</v>
      </c>
      <c r="G21" s="15">
        <f t="shared" si="1"/>
        <v>100</v>
      </c>
      <c r="H21" s="16"/>
    </row>
    <row r="22" spans="1:8" ht="15" customHeight="1" x14ac:dyDescent="0.25">
      <c r="A22" s="12"/>
      <c r="D22" s="14"/>
      <c r="E22" s="14"/>
      <c r="G22" s="15">
        <f t="shared" si="1"/>
        <v>0</v>
      </c>
      <c r="H22" s="16" t="s">
        <v>13</v>
      </c>
    </row>
    <row r="23" spans="1:8" ht="15" customHeight="1" x14ac:dyDescent="0.25">
      <c r="A23" s="12"/>
      <c r="B23" s="57" t="s">
        <v>15</v>
      </c>
      <c r="C23" s="50"/>
      <c r="D23" s="50"/>
      <c r="E23" s="50"/>
      <c r="F23" s="50"/>
      <c r="G23" s="15">
        <f>SUM(G17:G22)</f>
        <v>250.5</v>
      </c>
      <c r="H23" s="16" t="s">
        <v>13</v>
      </c>
    </row>
    <row r="24" spans="1:8" ht="15" customHeight="1" x14ac:dyDescent="0.25">
      <c r="A24" s="12"/>
      <c r="B24" s="57" t="s">
        <v>16</v>
      </c>
      <c r="C24" s="50"/>
      <c r="D24" s="50"/>
      <c r="E24" s="50"/>
      <c r="F24" s="50"/>
      <c r="G24" s="20">
        <v>0.25</v>
      </c>
      <c r="H24" s="20"/>
    </row>
    <row r="25" spans="1:8" ht="15" customHeight="1" x14ac:dyDescent="0.25">
      <c r="A25" s="21"/>
      <c r="B25" s="58" t="s">
        <v>18</v>
      </c>
      <c r="C25" s="50"/>
      <c r="D25" s="50"/>
      <c r="E25" s="50"/>
      <c r="F25" s="50"/>
      <c r="G25" s="15">
        <f>G23*(1+G24)</f>
        <v>313.125</v>
      </c>
      <c r="H25" s="16" t="s">
        <v>13</v>
      </c>
    </row>
    <row r="26" spans="1:8" ht="15" customHeight="1" x14ac:dyDescent="0.25">
      <c r="A26" s="22"/>
      <c r="B26" s="23"/>
      <c r="C26" s="23"/>
      <c r="D26" s="13"/>
      <c r="E26" s="13"/>
      <c r="F26" s="24"/>
      <c r="G26" s="25"/>
      <c r="H26" s="15"/>
    </row>
    <row r="27" spans="1:8" ht="15" customHeight="1" x14ac:dyDescent="0.25">
      <c r="A27" s="22" t="s">
        <v>19</v>
      </c>
      <c r="B27" s="23" t="s">
        <v>20</v>
      </c>
      <c r="C27" s="38" t="s">
        <v>37</v>
      </c>
      <c r="D27" s="13" t="s">
        <v>58</v>
      </c>
      <c r="E27" s="13">
        <v>1</v>
      </c>
      <c r="F27" s="24">
        <v>1000</v>
      </c>
      <c r="G27" s="25">
        <f>E27*F27</f>
        <v>1000</v>
      </c>
      <c r="H27" s="16" t="s">
        <v>13</v>
      </c>
    </row>
    <row r="28" spans="1:8" ht="15" customHeight="1" x14ac:dyDescent="0.25">
      <c r="A28" s="26"/>
      <c r="B28" s="42" t="s">
        <v>21</v>
      </c>
      <c r="C28" s="43"/>
      <c r="D28" s="43"/>
      <c r="E28" s="43"/>
      <c r="F28" s="43"/>
      <c r="G28" s="25">
        <f>G27-G25</f>
        <v>686.875</v>
      </c>
      <c r="H28" s="16" t="s">
        <v>13</v>
      </c>
    </row>
    <row r="29" spans="1:8" ht="15" customHeight="1" x14ac:dyDescent="0.25">
      <c r="A29" s="19" t="s">
        <v>22</v>
      </c>
      <c r="B29" s="8" t="s">
        <v>6</v>
      </c>
      <c r="C29" s="8" t="s">
        <v>7</v>
      </c>
      <c r="D29" s="9" t="s">
        <v>8</v>
      </c>
      <c r="E29" s="9" t="s">
        <v>9</v>
      </c>
      <c r="F29" s="10" t="s">
        <v>10</v>
      </c>
      <c r="G29" s="27" t="s">
        <v>11</v>
      </c>
      <c r="H29" s="27" t="s">
        <v>12</v>
      </c>
    </row>
    <row r="30" spans="1:8" ht="15" customHeight="1" x14ac:dyDescent="0.25">
      <c r="A30" s="44" t="s">
        <v>23</v>
      </c>
      <c r="B30" s="45"/>
      <c r="C30" s="45"/>
      <c r="D30" s="45"/>
      <c r="E30" s="45"/>
      <c r="F30" s="45"/>
      <c r="G30" s="45"/>
      <c r="H30" s="46"/>
    </row>
    <row r="31" spans="1:8" ht="15" customHeight="1" x14ac:dyDescent="0.25">
      <c r="A31" s="47"/>
      <c r="B31" s="43"/>
      <c r="C31" s="43"/>
      <c r="D31" s="43"/>
      <c r="E31" s="43"/>
      <c r="F31" s="43"/>
      <c r="G31" s="43"/>
      <c r="H31" s="48"/>
    </row>
    <row r="32" spans="1:8" ht="15" customHeight="1" x14ac:dyDescent="0.25">
      <c r="A32" s="44" t="s">
        <v>24</v>
      </c>
      <c r="B32" s="45"/>
      <c r="C32" s="45"/>
      <c r="D32" s="45"/>
      <c r="E32" s="45"/>
      <c r="F32" s="45"/>
      <c r="G32" s="45"/>
      <c r="H32" s="46"/>
    </row>
    <row r="33" spans="1:8" ht="15" customHeight="1" x14ac:dyDescent="0.25">
      <c r="A33" s="19" t="s">
        <v>25</v>
      </c>
      <c r="B33" s="8" t="s">
        <v>6</v>
      </c>
      <c r="C33" s="8" t="s">
        <v>7</v>
      </c>
      <c r="D33" s="9" t="s">
        <v>8</v>
      </c>
      <c r="E33" s="28" t="s">
        <v>26</v>
      </c>
      <c r="F33" s="10" t="s">
        <v>10</v>
      </c>
      <c r="G33" s="27" t="s">
        <v>11</v>
      </c>
      <c r="H33" s="27" t="s">
        <v>12</v>
      </c>
    </row>
    <row r="34" spans="1:8" ht="15" customHeight="1" x14ac:dyDescent="0.25">
      <c r="A34" s="29" t="s">
        <v>27</v>
      </c>
      <c r="B34" s="23" t="s">
        <v>28</v>
      </c>
      <c r="C34" s="37" t="s">
        <v>55</v>
      </c>
      <c r="D34" s="39" t="s">
        <v>46</v>
      </c>
      <c r="E34" s="39">
        <v>9</v>
      </c>
      <c r="F34" s="24">
        <v>3000</v>
      </c>
      <c r="G34" s="25">
        <v>3000</v>
      </c>
      <c r="H34" s="31" t="s">
        <v>13</v>
      </c>
    </row>
    <row r="35" spans="1:8" ht="15" customHeight="1" x14ac:dyDescent="0.25">
      <c r="A35" s="32"/>
      <c r="B35" s="23"/>
      <c r="C35" s="38"/>
      <c r="D35" s="13"/>
      <c r="E35" s="13"/>
      <c r="F35" s="24"/>
      <c r="G35" s="25">
        <f>E35*F35</f>
        <v>0</v>
      </c>
      <c r="H35" s="33"/>
    </row>
    <row r="36" spans="1:8" ht="15" customHeight="1" x14ac:dyDescent="0.25">
      <c r="A36" s="52" t="s">
        <v>29</v>
      </c>
      <c r="B36" s="23"/>
      <c r="C36" s="38"/>
      <c r="D36" s="13"/>
      <c r="E36" s="13"/>
      <c r="F36" s="24"/>
      <c r="G36" s="25">
        <f>E36*F36</f>
        <v>0</v>
      </c>
      <c r="H36" s="16" t="s">
        <v>13</v>
      </c>
    </row>
    <row r="37" spans="1:8" ht="15" customHeight="1" x14ac:dyDescent="0.25">
      <c r="A37" s="53"/>
      <c r="B37" s="23"/>
      <c r="C37" s="38"/>
      <c r="D37" s="13"/>
      <c r="E37" s="13"/>
      <c r="F37" s="24"/>
      <c r="G37" s="25">
        <f t="shared" ref="G37:G38" si="2">E37*F37</f>
        <v>0</v>
      </c>
      <c r="H37" s="16" t="s">
        <v>13</v>
      </c>
    </row>
    <row r="38" spans="1:8" ht="15" customHeight="1" x14ac:dyDescent="0.25">
      <c r="A38" s="53"/>
      <c r="B38" s="17"/>
      <c r="D38" s="13"/>
      <c r="E38" s="14"/>
      <c r="F38">
        <v>0</v>
      </c>
      <c r="G38" s="15">
        <f t="shared" si="2"/>
        <v>0</v>
      </c>
      <c r="H38" s="16" t="s">
        <v>13</v>
      </c>
    </row>
    <row r="39" spans="1:8" ht="15" customHeight="1" x14ac:dyDescent="0.25">
      <c r="A39" s="32"/>
      <c r="B39" s="54" t="s">
        <v>30</v>
      </c>
      <c r="C39" s="50"/>
      <c r="D39" s="50"/>
      <c r="E39" s="50"/>
      <c r="F39" s="50"/>
      <c r="G39" s="30">
        <f>G34-SUM(G36:G38)</f>
        <v>3000</v>
      </c>
      <c r="H39" s="31" t="s">
        <v>13</v>
      </c>
    </row>
    <row r="40" spans="1:8" ht="15" customHeight="1" x14ac:dyDescent="0.25">
      <c r="A40" s="32"/>
      <c r="B40" s="3"/>
      <c r="C40" s="3"/>
      <c r="D40" s="18"/>
      <c r="E40" s="18"/>
      <c r="F40" s="18"/>
      <c r="G40" s="34"/>
      <c r="H40" s="35"/>
    </row>
    <row r="41" spans="1:8" ht="15" customHeight="1" x14ac:dyDescent="0.25">
      <c r="A41" s="55" t="s">
        <v>31</v>
      </c>
      <c r="B41" s="50"/>
      <c r="C41" s="50"/>
      <c r="D41" s="50"/>
      <c r="E41" s="50"/>
      <c r="F41" s="50"/>
      <c r="G41" s="36"/>
      <c r="H41" s="36"/>
    </row>
    <row r="42" spans="1:8" ht="15" customHeight="1" x14ac:dyDescent="0.25">
      <c r="A42" s="49" t="s">
        <v>32</v>
      </c>
      <c r="B42" s="50"/>
      <c r="C42" s="50"/>
      <c r="D42" s="50"/>
      <c r="E42" s="50"/>
      <c r="F42" s="50"/>
      <c r="G42" s="50"/>
      <c r="H42" s="50"/>
    </row>
    <row r="43" spans="1:8" ht="15" customHeight="1" x14ac:dyDescent="0.25">
      <c r="A43" s="51" t="s">
        <v>33</v>
      </c>
      <c r="B43" s="50"/>
      <c r="C43" s="50"/>
      <c r="D43" s="50"/>
      <c r="E43" s="50"/>
      <c r="F43" s="50"/>
      <c r="G43" s="50"/>
      <c r="H43" s="50"/>
    </row>
    <row r="44" spans="1:8" ht="15" customHeight="1" x14ac:dyDescent="0.25"/>
    <row r="45" spans="1:8" ht="15" customHeight="1" x14ac:dyDescent="0.25"/>
    <row r="46" spans="1:8" ht="15" customHeight="1" x14ac:dyDescent="0.25"/>
    <row r="47" spans="1:8" ht="15" customHeight="1" x14ac:dyDescent="0.25"/>
    <row r="48" spans="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mergeCells count="15">
    <mergeCell ref="A1:H1"/>
    <mergeCell ref="A7:H7"/>
    <mergeCell ref="B23:F23"/>
    <mergeCell ref="B24:F24"/>
    <mergeCell ref="B25:F25"/>
    <mergeCell ref="A15:H15"/>
    <mergeCell ref="B28:F28"/>
    <mergeCell ref="A30:H30"/>
    <mergeCell ref="A31:H31"/>
    <mergeCell ref="A42:H42"/>
    <mergeCell ref="A43:H43"/>
    <mergeCell ref="A32:H32"/>
    <mergeCell ref="A36:A38"/>
    <mergeCell ref="B39:F39"/>
    <mergeCell ref="A41:F41"/>
  </mergeCells>
  <phoneticPr fontId="13" type="noConversion"/>
  <conditionalFormatting sqref="G28">
    <cfRule type="cellIs" dxfId="0" priority="1" operator="lessThan">
      <formula>0</formula>
    </cfRule>
  </conditionalFormatting>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0691B4B9CB7945A0EBC7A87558915A" ma:contentTypeVersion="4" ma:contentTypeDescription="Create a new document." ma:contentTypeScope="" ma:versionID="0e6cafd20dc3afed2ac7836b923da233">
  <xsd:schema xmlns:xsd="http://www.w3.org/2001/XMLSchema" xmlns:xs="http://www.w3.org/2001/XMLSchema" xmlns:p="http://schemas.microsoft.com/office/2006/metadata/properties" xmlns:ns3="df8e399f-9861-41ba-9820-932355d0d6eb" targetNamespace="http://schemas.microsoft.com/office/2006/metadata/properties" ma:root="true" ma:fieldsID="270dc6fd42b87668f96edf7910941e2a" ns3:_="">
    <xsd:import namespace="df8e399f-9861-41ba-9820-932355d0d6eb"/>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e399f-9861-41ba-9820-932355d0d6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260833-C77A-4E85-9057-D14659137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8e399f-9861-41ba-9820-932355d0d6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04AE45-4BDD-4EC6-96A0-0E97D0EF9C05}">
  <ds:schemaRefs>
    <ds:schemaRef ds:uri="http://schemas.microsoft.com/sharepoint/v3/contenttype/forms"/>
  </ds:schemaRefs>
</ds:datastoreItem>
</file>

<file path=customXml/itemProps3.xml><?xml version="1.0" encoding="utf-8"?>
<ds:datastoreItem xmlns:ds="http://schemas.openxmlformats.org/officeDocument/2006/customXml" ds:itemID="{291E36BB-4204-48C4-9520-86F388CD21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Manuel Castro</dc:creator>
  <cp:lastModifiedBy>Manuel Castro (Student)</cp:lastModifiedBy>
  <dcterms:created xsi:type="dcterms:W3CDTF">2025-10-22T07:04:38Z</dcterms:created>
  <dcterms:modified xsi:type="dcterms:W3CDTF">2025-12-09T06:33:29Z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0x0101004E0691B4B9CB7945A0EBC7A87558915A</vt:lpwstr>
  </property>
</Properties>
</file>