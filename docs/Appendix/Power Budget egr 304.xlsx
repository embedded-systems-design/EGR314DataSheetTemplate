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lex_\Downloads\"/>
    </mc:Choice>
  </mc:AlternateContent>
  <xr:revisionPtr revIDLastSave="0" documentId="8_{1B3F11CB-880F-4575-98D1-E6D9C8F999AE}" xr6:coauthVersionLast="47" xr6:coauthVersionMax="47" xr10:uidLastSave="{00000000-0000-0000-0000-000000000000}"/>
  <bookViews>
    <workbookView xWindow="-25800" yWindow="0" windowWidth="25800" windowHeight="2100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 r="G54" i="1"/>
  <c r="G55" i="1"/>
  <c r="G42" i="1"/>
  <c r="G43" i="1"/>
  <c r="G44" i="1"/>
  <c r="G19" i="1"/>
  <c r="G20" i="1"/>
  <c r="G21" i="1"/>
  <c r="G32" i="1"/>
  <c r="G33" i="1"/>
  <c r="G80" i="1"/>
  <c r="G84" i="1"/>
  <c r="G85" i="1" s="1"/>
  <c r="G18" i="1"/>
  <c r="G14" i="1"/>
  <c r="G13" i="1"/>
  <c r="G12" i="1"/>
  <c r="G10" i="1"/>
  <c r="G11" i="1"/>
  <c r="G71" i="1"/>
  <c r="G70" i="1"/>
  <c r="G69" i="1"/>
  <c r="G60" i="1"/>
  <c r="G49" i="1"/>
  <c r="G45" i="1"/>
  <c r="G47" i="1" s="1"/>
  <c r="G38" i="1"/>
  <c r="G31" i="1"/>
  <c r="G30" i="1"/>
  <c r="G29" i="1"/>
  <c r="G26" i="1"/>
  <c r="G17" i="1"/>
  <c r="G9" i="1"/>
  <c r="G72" i="1" l="1"/>
  <c r="G56" i="1"/>
  <c r="G58" i="1" s="1"/>
  <c r="G61" i="1" s="1"/>
  <c r="G34" i="1"/>
  <c r="G36" i="1" s="1"/>
  <c r="G39" i="1" s="1"/>
  <c r="G50" i="1"/>
  <c r="G22" i="1"/>
  <c r="G24" i="1" s="1"/>
  <c r="G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<sst xmlns="http://schemas.openxmlformats.org/spreadsheetml/2006/main" count="223" uniqueCount="82">
  <si>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</si>
  <si>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</si>
  <si>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</si>
  <si>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</si>
  <si>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</si>
  <si>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</si>
  <si>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</si>
  <si>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</si>
  <si>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</si>
  <si>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</si>
  <si>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</si>
  <si>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</si>
  <si>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</si>
  <si>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</si>
  <si>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</si>
  <si>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Opamp</t>
  </si>
  <si>
    <t>5V regulator</t>
  </si>
  <si>
    <t xml:space="preserve"> +5V - 35V</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</si>
  <si>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</si>
  <si>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</si>
  <si>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</si>
  <si>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</si>
  <si>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</si>
  <si>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</si>
  <si>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</si>
  <si>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 xml:space="preserve"> +5V Regulator</t>
  </si>
  <si>
    <t>Total Remaining Current Available on +5V Rail</t>
  </si>
  <si>
    <t>-5V Power Rail</t>
  </si>
  <si>
    <t>Total Current Required on -5V Rail</t>
  </si>
  <si>
    <t>c3. Regulator or Source Choice</t>
  </si>
  <si>
    <t xml:space="preserve"> -5V Regulator</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</si>
  <si>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</si>
  <si>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</si>
  <si>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</si>
  <si>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</si>
  <si>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</si>
  <si>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</si>
  <si>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</si>
  <si>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</si>
  <si>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</si>
  <si>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</si>
  <si>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</si>
  <si>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</si>
  <si>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</si>
  <si>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</si>
  <si>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</si>
  <si>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</si>
  <si>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</si>
  <si>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</si>
  <si>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</si>
  <si>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</si>
  <si>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 xml:space="preserve"> +12V</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</si>
  <si>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</si>
  <si>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</si>
  <si>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</si>
  <si>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</si>
  <si>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</si>
  <si>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Phototransistor</t>
  </si>
  <si>
    <t>TCRT5000</t>
  </si>
  <si>
    <t xml:space="preserve"> +5 - 3.3V</t>
  </si>
  <si>
    <t xml:space="preserve"> +6 - 1.8V</t>
  </si>
  <si>
    <t>MCP6002</t>
  </si>
  <si>
    <t>6V Voltage rRegulator</t>
  </si>
  <si>
    <t>LM2596</t>
  </si>
  <si>
    <t xml:space="preserve"> +45 - 2.75V</t>
  </si>
  <si>
    <t>DC Motor</t>
  </si>
  <si>
    <t>D45V5F5</t>
  </si>
  <si>
    <t xml:space="preserve"> +6 - 6V</t>
  </si>
  <si>
    <t>H Bridge</t>
  </si>
  <si>
    <t>FAN8100N</t>
  </si>
  <si>
    <t xml:space="preserve"> +10 - 10V</t>
  </si>
  <si>
    <t xml:space="preserve"> +6V Power Rail</t>
  </si>
  <si>
    <t xml:space="preserve"> +6V regulator</t>
  </si>
  <si>
    <t>Total Remaining Current Available on +6V Rail</t>
  </si>
  <si>
    <t>Total Current Required on +6V Rail</t>
  </si>
  <si>
    <t>N/A</t>
  </si>
  <si>
    <t>GST60A12-P1J</t>
  </si>
  <si>
    <t>115VAC</t>
  </si>
  <si>
    <t>V1.02</t>
  </si>
  <si>
    <t>Power Budget</t>
  </si>
  <si>
    <t>Sparky 1</t>
  </si>
  <si>
    <t>Ayush, Armando, Manny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</si>
</sst>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9"/>
      <color rgb="FF000000"/>
      <name val="Helvetica"/>
    </font>
    <font>
      <sz val="12"/>
      <color rgb="FF000000"/>
      <name val="Calibri"/>
      <family val="2"/>
    </font>
    <font>
      <sz val="12"/>
      <color rgb="FF000000"/>
      <name val="Arial"/>
      <family val="2"/>
    </font>
    <font>
      <b/>
      <i/>
      <sz val="12"/>
      <color rgb="FF000000"/>
      <name val="Arial"/>
      <family val="2"/>
    </font>
    <font>
      <b/>
      <sz val="12"/>
      <color rgb="FF000000"/>
      <name val="Calibri"/>
      <family val="2"/>
    </font>
    <font>
      <b/>
      <sz val="24"/>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84">
    <xf numFmtId="0" fontId="0" fillId="0" borderId="0" xfId="0"/>
    <xf numFmtId="0" fontId="1" fillId="0" borderId="1" xfId="0" applyFont="1" applyBorder="1"/>
    <xf numFmtId="0" fontId="2"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3" fillId="0" borderId="0" xfId="0" applyFont="1" applyAlignment="1">
      <alignment horizontal="center"/>
    </xf>
    <xf numFmtId="0" fontId="1" fillId="0" borderId="9" xfId="0" applyFont="1" applyBorder="1"/>
    <xf numFmtId="0" fontId="4" fillId="3" borderId="10" xfId="0" applyFont="1" applyFill="1" applyBorder="1"/>
    <xf numFmtId="0" fontId="6" fillId="0" borderId="0" xfId="0" applyFont="1" applyAlignment="1">
      <alignment horizontal="right"/>
    </xf>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4" fillId="0" borderId="8" xfId="0" applyFont="1" applyBorder="1" applyAlignment="1">
      <alignment wrapText="1"/>
    </xf>
    <xf numFmtId="0" fontId="4" fillId="0" borderId="0" xfId="0" applyFont="1" applyAlignment="1">
      <alignment wrapText="1"/>
    </xf>
    <xf numFmtId="0" fontId="4" fillId="0" borderId="8" xfId="0" applyFont="1" applyBorder="1"/>
    <xf numFmtId="0" fontId="4" fillId="0" borderId="9"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7" fillId="0" borderId="0" xfId="0" applyFont="1"/>
    <xf numFmtId="0" fontId="0" fillId="0" borderId="9" xfId="0" applyBorder="1" applyAlignment="1">
      <alignment horizontal="center"/>
    </xf>
    <xf numFmtId="0" fontId="6" fillId="2" borderId="1" xfId="0" applyFont="1" applyFill="1" applyBorder="1"/>
    <xf numFmtId="0" fontId="1" fillId="3" borderId="8" xfId="0" applyFont="1" applyFill="1" applyBorder="1"/>
    <xf numFmtId="0" fontId="1" fillId="3" borderId="16" xfId="0" applyFont="1" applyFill="1" applyBorder="1"/>
    <xf numFmtId="0" fontId="3" fillId="3" borderId="17" xfId="0" applyFont="1" applyFill="1" applyBorder="1" applyAlignment="1">
      <alignment horizontal="center"/>
    </xf>
    <xf numFmtId="0" fontId="3" fillId="3" borderId="18" xfId="0" applyFont="1" applyFill="1" applyBorder="1" applyAlignment="1">
      <alignment horizontal="center"/>
    </xf>
    <xf numFmtId="0" fontId="3" fillId="3" borderId="9" xfId="0" applyFont="1" applyFill="1" applyBorder="1" applyAlignment="1">
      <alignment horizontal="center"/>
    </xf>
    <xf numFmtId="0" fontId="1" fillId="3" borderId="9" xfId="0" applyFont="1" applyFill="1" applyBorder="1"/>
    <xf numFmtId="0" fontId="0" fillId="2" borderId="0" xfId="0" applyFill="1"/>
    <xf numFmtId="0" fontId="0" fillId="0" borderId="0" xfId="0"/>
    <xf numFmtId="0" fontId="4" fillId="2" borderId="2" xfId="0" applyFont="1" applyFill="1" applyBorder="1" applyAlignment="1">
      <alignment wrapText="1"/>
    </xf>
    <xf numFmtId="0" fontId="2" fillId="0" borderId="3" xfId="0" applyFont="1" applyBorder="1"/>
    <xf numFmtId="0" fontId="2" fillId="0" borderId="4" xfId="0" applyFont="1" applyBorder="1"/>
    <xf numFmtId="0" fontId="6" fillId="0" borderId="0" xfId="0" applyFont="1" applyAlignment="1">
      <alignment horizontal="right"/>
    </xf>
    <xf numFmtId="0" fontId="4" fillId="0" borderId="0" xfId="0" applyFont="1" applyAlignment="1">
      <alignment horizontal="right"/>
    </xf>
    <xf numFmtId="49" fontId="4" fillId="0" borderId="12" xfId="0" applyNumberFormat="1" applyFont="1" applyBorder="1" applyAlignment="1">
      <alignment horizontal="right"/>
    </xf>
    <xf numFmtId="0" fontId="2" fillId="0" borderId="12" xfId="0" applyFont="1" applyBorder="1"/>
    <xf numFmtId="49" fontId="4" fillId="0" borderId="0" xfId="0" applyNumberFormat="1" applyFont="1" applyAlignment="1">
      <alignment horizontal="right"/>
    </xf>
    <xf numFmtId="0" fontId="4" fillId="0" borderId="11" xfId="0" applyFont="1" applyBorder="1" applyAlignment="1">
      <alignment wrapText="1"/>
    </xf>
    <xf numFmtId="0" fontId="2" fillId="0" borderId="13" xfId="0" applyFont="1" applyBorder="1"/>
    <xf numFmtId="0" fontId="5" fillId="0" borderId="0" xfId="0" applyFont="1" applyAlignment="1">
      <alignment wrapText="1"/>
    </xf>
    <xf numFmtId="0" fontId="8" fillId="4" borderId="0" xfId="0" applyFont="1" applyFill="1" applyAlignment="1">
      <alignment horizontal="left" wrapText="1"/>
    </xf>
    <xf numFmtId="0" fontId="3" fillId="0" borderId="8" xfId="0" applyFont="1" applyBorder="1" applyAlignment="1">
      <alignment horizontal="left" vertical="center" wrapText="1"/>
    </xf>
    <xf numFmtId="0" fontId="2" fillId="0" borderId="8" xfId="0" applyFont="1" applyBorder="1"/>
    <xf numFmtId="0" fontId="4" fillId="2" borderId="0" xfId="0" applyFont="1" applyFill="1"/>
    <xf numFmtId="0" fontId="9" fillId="0" borderId="0" xfId="0" applyFont="1"/>
    <xf numFmtId="0" fontId="10" fillId="0" borderId="0" xfId="0" applyFont="1"/>
    <xf numFmtId="0" fontId="11" fillId="0" borderId="0" xfId="0" applyFont="1" applyAlignment="1">
      <alignment horizontal="center"/>
    </xf>
    <xf numFmtId="0" fontId="11" fillId="0" borderId="0" xfId="0" applyFont="1"/>
    <xf numFmtId="0" fontId="10" fillId="0" borderId="0" xfId="0" applyFont="1" applyAlignment="1">
      <alignment horizontal="left"/>
    </xf>
    <xf numFmtId="0" fontId="12" fillId="3" borderId="10" xfId="0" applyFont="1" applyFill="1" applyBorder="1"/>
    <xf numFmtId="0" fontId="11" fillId="0" borderId="0" xfId="0" applyFont="1" applyAlignment="1">
      <alignment horizontal="left"/>
    </xf>
    <xf numFmtId="49" fontId="12" fillId="0" borderId="12" xfId="0" applyNumberFormat="1" applyFont="1" applyBorder="1" applyAlignment="1">
      <alignment horizontal="right"/>
    </xf>
    <xf numFmtId="0" fontId="12" fillId="0" borderId="0" xfId="0" applyFont="1" applyAlignment="1">
      <alignment horizontal="right"/>
    </xf>
    <xf numFmtId="0" fontId="4" fillId="2" borderId="10" xfId="0" applyFont="1" applyFill="1" applyBorder="1" applyAlignment="1">
      <alignment wrapText="1"/>
    </xf>
    <xf numFmtId="0" fontId="4" fillId="2" borderId="15" xfId="0" applyFont="1" applyFill="1" applyBorder="1" applyAlignment="1">
      <alignment wrapText="1"/>
    </xf>
    <xf numFmtId="0" fontId="4" fillId="2" borderId="4" xfId="0" applyFont="1" applyFill="1" applyBorder="1" applyAlignment="1">
      <alignment wrapText="1"/>
    </xf>
    <xf numFmtId="49" fontId="4" fillId="0" borderId="16" xfId="0" applyNumberFormat="1" applyFont="1" applyBorder="1" applyAlignment="1">
      <alignment horizontal="right"/>
    </xf>
    <xf numFmtId="49" fontId="4" fillId="0" borderId="14" xfId="0" applyNumberFormat="1" applyFont="1" applyBorder="1" applyAlignment="1">
      <alignment horizontal="right"/>
    </xf>
    <xf numFmtId="0" fontId="13" fillId="0" borderId="1" xfId="0" applyFont="1" applyBorder="1"/>
    <xf numFmtId="0" fontId="14"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8"/>
  <sheetViews>
    <sheetView tabSelected="1" zoomScale="70" zoomScaleNormal="70" workbookViewId="0">
      <selection activeCell="B4" sqref="B4"/>
    </sheetView>
  </sheetViews>
  <sheetFormatPr defaultColWidth="13.5" defaultRowHeight="15.75" customHeight="1" x14ac:dyDescent="0.25"/>
  <cols>
    <col min="1" max="1" width="26.125" customWidth="1"/>
    <col min="2" max="2" width="23.125" customWidth="1"/>
    <col min="3" max="3" width="13.5" customWidth="1"/>
    <col min="4" max="4" width="24.75" bestFit="1" customWidth="1"/>
    <col min="5" max="5" width="6.875" customWidth="1"/>
    <col min="6" max="6" width="34.625" bestFit="1" customWidth="1"/>
    <col min="7" max="7" width="26.5" bestFit="1" customWidth="1"/>
    <col min="8" max="8" width="9" customWidth="1"/>
  </cols>
  <sheetData>
    <row r="1" spans="1:8" ht="30" customHeight="1" x14ac:dyDescent="0.5">
      <c r="A1" s="83" t="s">
        <v>79</v>
      </c>
      <c r="B1" s="52"/>
      <c r="C1" s="52"/>
      <c r="D1" s="52"/>
      <c r="E1" s="52"/>
      <c r="F1" s="52"/>
      <c r="G1" s="52"/>
      <c r="H1" s="52"/>
    </row>
    <row r="2" spans="1:8" ht="15" customHeight="1" x14ac:dyDescent="0.25">
      <c r="A2" s="1" t="s">
        <v>0</v>
      </c>
      <c r="B2" s="2">
        <v>203</v>
      </c>
      <c r="D2" s="3"/>
      <c r="E2" s="3"/>
    </row>
    <row r="3" spans="1:8" ht="15" customHeight="1" x14ac:dyDescent="0.25">
      <c r="A3" s="4" t="s">
        <v>1</v>
      </c>
      <c r="B3" s="82" t="s">
        <v>80</v>
      </c>
      <c r="C3" s="5"/>
      <c r="D3" s="3"/>
      <c r="E3" s="3"/>
      <c r="F3" s="5"/>
      <c r="G3" s="5"/>
      <c r="H3" s="5"/>
    </row>
    <row r="4" spans="1:8" ht="15" customHeight="1" x14ac:dyDescent="0.25">
      <c r="A4" s="4" t="s">
        <v>2</v>
      </c>
      <c r="B4" s="82" t="s">
        <v>81</v>
      </c>
      <c r="C4" s="5"/>
      <c r="D4" s="3"/>
      <c r="E4" s="3"/>
      <c r="F4" s="5"/>
      <c r="G4" s="5"/>
      <c r="H4" s="5"/>
    </row>
    <row r="5" spans="1:8" ht="15" customHeight="1" x14ac:dyDescent="0.25">
      <c r="A5" s="4" t="s">
        <v>3</v>
      </c>
      <c r="B5" s="82" t="s">
        <v>78</v>
      </c>
      <c r="C5" s="5"/>
      <c r="D5" s="3"/>
      <c r="E5" s="3"/>
      <c r="F5" s="5"/>
      <c r="G5" s="5"/>
      <c r="H5" s="5"/>
    </row>
    <row r="6" spans="1:8" ht="15" customHeight="1" x14ac:dyDescent="0.25">
      <c r="A6" s="6"/>
      <c r="B6" s="5"/>
      <c r="C6" s="5"/>
      <c r="D6" s="3"/>
      <c r="E6" s="3"/>
      <c r="F6" s="5"/>
      <c r="G6" s="5"/>
      <c r="H6" s="5"/>
    </row>
    <row r="7" spans="1:8" ht="15" customHeight="1" x14ac:dyDescent="0.25">
      <c r="A7" s="53" t="s">
        <v>4</v>
      </c>
      <c r="B7" s="54"/>
      <c r="C7" s="54"/>
      <c r="D7" s="54"/>
      <c r="E7" s="54"/>
      <c r="F7" s="54"/>
      <c r="G7" s="54"/>
      <c r="H7" s="55"/>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57</v>
      </c>
      <c r="C9" t="s">
        <v>58</v>
      </c>
      <c r="D9" s="13" t="s">
        <v>59</v>
      </c>
      <c r="E9" s="14">
        <v>1</v>
      </c>
      <c r="F9">
        <v>100</v>
      </c>
      <c r="G9" s="15">
        <f t="shared" ref="G9" si="0">E9*F9</f>
        <v>100</v>
      </c>
      <c r="H9" s="16" t="s">
        <v>14</v>
      </c>
    </row>
    <row r="10" spans="1:8" ht="15" customHeight="1" x14ac:dyDescent="0.25">
      <c r="A10" s="12"/>
      <c r="B10" t="s">
        <v>15</v>
      </c>
      <c r="C10" t="s">
        <v>61</v>
      </c>
      <c r="D10" s="13" t="s">
        <v>60</v>
      </c>
      <c r="E10" s="14">
        <v>1</v>
      </c>
      <c r="F10">
        <v>25</v>
      </c>
      <c r="G10" s="15">
        <f>E10*F10</f>
        <v>25</v>
      </c>
      <c r="H10" s="16" t="s">
        <v>14</v>
      </c>
    </row>
    <row r="11" spans="1:8" ht="15" customHeight="1" x14ac:dyDescent="0.25">
      <c r="A11" s="12"/>
      <c r="B11" t="s">
        <v>62</v>
      </c>
      <c r="C11" s="69" t="s">
        <v>63</v>
      </c>
      <c r="D11" s="70" t="s">
        <v>64</v>
      </c>
      <c r="E11" s="14">
        <v>1</v>
      </c>
      <c r="F11">
        <v>7500</v>
      </c>
      <c r="G11" s="15">
        <f>E11*F11</f>
        <v>7500</v>
      </c>
      <c r="H11" s="16" t="s">
        <v>14</v>
      </c>
    </row>
    <row r="12" spans="1:8" ht="15" customHeight="1" x14ac:dyDescent="0.25">
      <c r="A12" s="12"/>
      <c r="B12" t="s">
        <v>16</v>
      </c>
      <c r="C12" s="69" t="s">
        <v>66</v>
      </c>
      <c r="D12" s="13" t="s">
        <v>17</v>
      </c>
      <c r="E12" s="14">
        <v>1</v>
      </c>
      <c r="F12">
        <v>500</v>
      </c>
      <c r="G12" s="15">
        <f>E12*F12</f>
        <v>500</v>
      </c>
      <c r="H12" s="16" t="s">
        <v>14</v>
      </c>
    </row>
    <row r="13" spans="1:8" x14ac:dyDescent="0.25">
      <c r="A13" s="12"/>
      <c r="B13" s="71" t="s">
        <v>65</v>
      </c>
      <c r="C13" s="72">
        <v>1096</v>
      </c>
      <c r="D13" s="70" t="s">
        <v>67</v>
      </c>
      <c r="E13" s="14">
        <v>1</v>
      </c>
      <c r="F13">
        <v>40</v>
      </c>
      <c r="G13" s="15">
        <f>E13*F13</f>
        <v>40</v>
      </c>
      <c r="H13" s="16" t="s">
        <v>14</v>
      </c>
    </row>
    <row r="14" spans="1:8" ht="15" customHeight="1" x14ac:dyDescent="0.25">
      <c r="A14" s="12"/>
      <c r="B14" s="71" t="s">
        <v>68</v>
      </c>
      <c r="C14" s="69" t="s">
        <v>69</v>
      </c>
      <c r="D14" s="70" t="s">
        <v>70</v>
      </c>
      <c r="E14" s="14">
        <v>1</v>
      </c>
      <c r="F14">
        <v>1500</v>
      </c>
      <c r="G14" s="15">
        <f>E14*F14</f>
        <v>1500</v>
      </c>
      <c r="H14" s="16" t="s">
        <v>14</v>
      </c>
    </row>
    <row r="15" spans="1:8" ht="15" customHeight="1" x14ac:dyDescent="0.25">
      <c r="A15" s="53" t="s">
        <v>18</v>
      </c>
      <c r="B15" s="54"/>
      <c r="C15" s="54"/>
      <c r="D15" s="54"/>
      <c r="E15" s="54"/>
      <c r="F15" s="54"/>
      <c r="G15" s="54"/>
      <c r="H15" s="55"/>
    </row>
    <row r="16" spans="1:8" ht="15" customHeight="1" x14ac:dyDescent="0.25">
      <c r="A16" s="73" t="s">
        <v>71</v>
      </c>
      <c r="B16" s="8" t="s">
        <v>6</v>
      </c>
      <c r="C16" s="8" t="s">
        <v>7</v>
      </c>
      <c r="D16" s="9" t="s">
        <v>8</v>
      </c>
      <c r="E16" s="9" t="s">
        <v>9</v>
      </c>
      <c r="F16" s="10" t="s">
        <v>10</v>
      </c>
      <c r="G16" s="11" t="s">
        <v>11</v>
      </c>
      <c r="H16" s="11" t="s">
        <v>12</v>
      </c>
    </row>
    <row r="17" spans="1:8" ht="15" customHeight="1" x14ac:dyDescent="0.25">
      <c r="A17" s="12"/>
      <c r="B17" s="71" t="s">
        <v>65</v>
      </c>
      <c r="C17" s="72">
        <v>1096</v>
      </c>
      <c r="D17" s="70" t="s">
        <v>67</v>
      </c>
      <c r="E17" s="14">
        <v>1</v>
      </c>
      <c r="F17">
        <v>40</v>
      </c>
      <c r="G17" s="15">
        <f t="shared" ref="G17:G21" si="1">E17*F17</f>
        <v>40</v>
      </c>
      <c r="H17" s="16" t="s">
        <v>14</v>
      </c>
    </row>
    <row r="18" spans="1:8" ht="15" customHeight="1" x14ac:dyDescent="0.25">
      <c r="A18" s="12"/>
      <c r="B18" s="71" t="s">
        <v>68</v>
      </c>
      <c r="C18" s="69" t="s">
        <v>69</v>
      </c>
      <c r="D18" s="70" t="s">
        <v>70</v>
      </c>
      <c r="E18" s="14">
        <v>1</v>
      </c>
      <c r="F18">
        <v>1500</v>
      </c>
      <c r="G18" s="15">
        <f t="shared" si="1"/>
        <v>1500</v>
      </c>
      <c r="H18" s="16" t="s">
        <v>14</v>
      </c>
    </row>
    <row r="19" spans="1:8" ht="15" customHeight="1" x14ac:dyDescent="0.25">
      <c r="A19" s="12"/>
      <c r="D19" s="14"/>
      <c r="E19" s="14"/>
      <c r="G19" s="15">
        <f t="shared" si="1"/>
        <v>0</v>
      </c>
      <c r="H19" s="16" t="s">
        <v>14</v>
      </c>
    </row>
    <row r="20" spans="1:8" ht="15" customHeight="1" x14ac:dyDescent="0.25">
      <c r="A20" s="12"/>
      <c r="D20" s="14"/>
      <c r="E20" s="14"/>
      <c r="G20" s="15">
        <f t="shared" si="1"/>
        <v>0</v>
      </c>
      <c r="H20" s="16" t="s">
        <v>14</v>
      </c>
    </row>
    <row r="21" spans="1:8" ht="15" customHeight="1" x14ac:dyDescent="0.25">
      <c r="A21" s="12"/>
      <c r="D21" s="14"/>
      <c r="E21" s="14"/>
      <c r="G21" s="15">
        <f t="shared" si="1"/>
        <v>0</v>
      </c>
      <c r="H21" s="16" t="s">
        <v>14</v>
      </c>
    </row>
    <row r="22" spans="1:8" ht="15" customHeight="1" x14ac:dyDescent="0.25">
      <c r="A22" s="12"/>
      <c r="B22" s="56" t="s">
        <v>19</v>
      </c>
      <c r="C22" s="52"/>
      <c r="D22" s="52"/>
      <c r="E22" s="52"/>
      <c r="F22" s="52"/>
      <c r="G22" s="15">
        <f>SUM(G17:G21)</f>
        <v>1540</v>
      </c>
      <c r="H22" s="16" t="s">
        <v>14</v>
      </c>
    </row>
    <row r="23" spans="1:8" ht="15" customHeight="1" x14ac:dyDescent="0.25">
      <c r="A23" s="12"/>
      <c r="B23" s="56" t="s">
        <v>20</v>
      </c>
      <c r="C23" s="52"/>
      <c r="D23" s="52"/>
      <c r="E23" s="52"/>
      <c r="F23" s="52"/>
      <c r="G23" s="22">
        <v>0.25</v>
      </c>
      <c r="H23" s="22"/>
    </row>
    <row r="24" spans="1:8" ht="15" customHeight="1" x14ac:dyDescent="0.25">
      <c r="A24" s="23"/>
      <c r="B24" s="76" t="s">
        <v>74</v>
      </c>
      <c r="C24" s="52"/>
      <c r="D24" s="52"/>
      <c r="E24" s="52"/>
      <c r="F24" s="52"/>
      <c r="G24" s="15">
        <f>G22*(1+G23)</f>
        <v>1925</v>
      </c>
      <c r="H24" s="16" t="s">
        <v>14</v>
      </c>
    </row>
    <row r="25" spans="1:8" ht="15" customHeight="1" x14ac:dyDescent="0.25">
      <c r="A25" s="24"/>
      <c r="B25" s="25"/>
      <c r="C25" s="25"/>
      <c r="D25" s="13"/>
      <c r="E25" s="13"/>
      <c r="F25" s="26"/>
      <c r="G25" s="27"/>
      <c r="H25" s="15"/>
    </row>
    <row r="26" spans="1:8" ht="15" customHeight="1" x14ac:dyDescent="0.25">
      <c r="A26" s="24" t="s">
        <v>21</v>
      </c>
      <c r="B26" s="74" t="s">
        <v>72</v>
      </c>
      <c r="C26" s="69" t="s">
        <v>63</v>
      </c>
      <c r="D26" s="70" t="s">
        <v>64</v>
      </c>
      <c r="E26" s="13">
        <v>1</v>
      </c>
      <c r="F26">
        <v>7500</v>
      </c>
      <c r="G26" s="27">
        <f>E26*F26</f>
        <v>7500</v>
      </c>
      <c r="H26" s="16" t="s">
        <v>14</v>
      </c>
    </row>
    <row r="27" spans="1:8" ht="15" customHeight="1" x14ac:dyDescent="0.25">
      <c r="A27" s="28"/>
      <c r="B27" s="75" t="s">
        <v>73</v>
      </c>
      <c r="C27" s="59"/>
      <c r="D27" s="59"/>
      <c r="E27" s="59"/>
      <c r="F27" s="59"/>
      <c r="G27" s="27">
        <f>G26-G24</f>
        <v>5575</v>
      </c>
      <c r="H27" s="16" t="s">
        <v>14</v>
      </c>
    </row>
    <row r="28" spans="1:8" ht="15" customHeight="1" x14ac:dyDescent="0.25">
      <c r="A28" s="20" t="s">
        <v>22</v>
      </c>
      <c r="B28" s="8" t="s">
        <v>6</v>
      </c>
      <c r="C28" s="8" t="s">
        <v>7</v>
      </c>
      <c r="D28" s="9" t="s">
        <v>8</v>
      </c>
      <c r="E28" s="9" t="s">
        <v>9</v>
      </c>
      <c r="F28" s="10" t="s">
        <v>10</v>
      </c>
      <c r="G28" s="29" t="s">
        <v>11</v>
      </c>
      <c r="H28" s="29" t="s">
        <v>12</v>
      </c>
    </row>
    <row r="29" spans="1:8" ht="15" customHeight="1" x14ac:dyDescent="0.25">
      <c r="A29" s="12"/>
      <c r="B29" t="s">
        <v>57</v>
      </c>
      <c r="C29" t="s">
        <v>58</v>
      </c>
      <c r="D29" s="13" t="s">
        <v>59</v>
      </c>
      <c r="E29" s="14">
        <v>1</v>
      </c>
      <c r="F29">
        <v>100</v>
      </c>
      <c r="G29" s="15">
        <f t="shared" ref="G29:G33" si="2">E29*F29</f>
        <v>100</v>
      </c>
      <c r="H29" s="16" t="s">
        <v>14</v>
      </c>
    </row>
    <row r="30" spans="1:8" ht="15" customHeight="1" x14ac:dyDescent="0.25">
      <c r="A30" s="12"/>
      <c r="B30" t="s">
        <v>15</v>
      </c>
      <c r="C30" t="s">
        <v>61</v>
      </c>
      <c r="D30" s="13" t="s">
        <v>60</v>
      </c>
      <c r="E30" s="14">
        <v>1</v>
      </c>
      <c r="F30">
        <v>25</v>
      </c>
      <c r="G30" s="15">
        <f t="shared" si="2"/>
        <v>25</v>
      </c>
      <c r="H30" s="16" t="s">
        <v>14</v>
      </c>
    </row>
    <row r="31" spans="1:8" ht="15" customHeight="1" x14ac:dyDescent="0.25">
      <c r="A31" s="12"/>
      <c r="D31" s="14"/>
      <c r="E31" s="14"/>
      <c r="G31" s="15">
        <f t="shared" si="2"/>
        <v>0</v>
      </c>
      <c r="H31" s="16" t="s">
        <v>14</v>
      </c>
    </row>
    <row r="32" spans="1:8" ht="15" customHeight="1" x14ac:dyDescent="0.25">
      <c r="A32" s="12"/>
      <c r="D32" s="14"/>
      <c r="E32" s="14"/>
      <c r="G32" s="15">
        <f t="shared" si="2"/>
        <v>0</v>
      </c>
      <c r="H32" s="16" t="s">
        <v>14</v>
      </c>
    </row>
    <row r="33" spans="1:8" ht="15" customHeight="1" x14ac:dyDescent="0.25">
      <c r="A33" s="12"/>
      <c r="D33" s="14"/>
      <c r="E33" s="14"/>
      <c r="G33" s="15">
        <f t="shared" si="2"/>
        <v>0</v>
      </c>
      <c r="H33" s="16" t="s">
        <v>14</v>
      </c>
    </row>
    <row r="34" spans="1:8" ht="15" customHeight="1" x14ac:dyDescent="0.25">
      <c r="A34" s="12"/>
      <c r="B34" s="56" t="s">
        <v>19</v>
      </c>
      <c r="C34" s="52"/>
      <c r="D34" s="52"/>
      <c r="E34" s="52"/>
      <c r="F34" s="52"/>
      <c r="G34" s="15">
        <f>SUM(G29:G33)</f>
        <v>125</v>
      </c>
      <c r="H34" s="16" t="s">
        <v>14</v>
      </c>
    </row>
    <row r="35" spans="1:8" ht="15" customHeight="1" x14ac:dyDescent="0.25">
      <c r="A35" s="12"/>
      <c r="B35" s="56" t="s">
        <v>20</v>
      </c>
      <c r="C35" s="52"/>
      <c r="D35" s="52"/>
      <c r="E35" s="52"/>
      <c r="F35" s="52"/>
      <c r="G35" s="22">
        <v>0.25</v>
      </c>
      <c r="H35" s="22"/>
    </row>
    <row r="36" spans="1:8" ht="15" customHeight="1" x14ac:dyDescent="0.25">
      <c r="A36" s="23"/>
      <c r="B36" s="57" t="s">
        <v>23</v>
      </c>
      <c r="C36" s="52"/>
      <c r="D36" s="52"/>
      <c r="E36" s="52"/>
      <c r="F36" s="52"/>
      <c r="G36" s="15">
        <f>G34*(1+G35)</f>
        <v>156.25</v>
      </c>
      <c r="H36" s="16" t="s">
        <v>14</v>
      </c>
    </row>
    <row r="37" spans="1:8" ht="15" customHeight="1" x14ac:dyDescent="0.25">
      <c r="A37" s="24"/>
      <c r="B37" s="25"/>
      <c r="C37" s="25"/>
      <c r="D37" s="13"/>
      <c r="E37" s="13"/>
      <c r="F37" s="26"/>
      <c r="G37" s="27"/>
      <c r="H37" s="15"/>
    </row>
    <row r="38" spans="1:8" ht="15" customHeight="1" x14ac:dyDescent="0.25">
      <c r="A38" s="24" t="s">
        <v>24</v>
      </c>
      <c r="B38" s="25" t="s">
        <v>25</v>
      </c>
      <c r="C38" s="69" t="s">
        <v>66</v>
      </c>
      <c r="D38" s="13" t="s">
        <v>17</v>
      </c>
      <c r="E38" s="13">
        <v>1</v>
      </c>
      <c r="F38" s="26">
        <v>500</v>
      </c>
      <c r="G38" s="27">
        <f>E38*F38</f>
        <v>500</v>
      </c>
      <c r="H38" s="16" t="s">
        <v>14</v>
      </c>
    </row>
    <row r="39" spans="1:8" ht="15" customHeight="1" x14ac:dyDescent="0.25">
      <c r="A39" s="28"/>
      <c r="B39" s="58" t="s">
        <v>26</v>
      </c>
      <c r="C39" s="59"/>
      <c r="D39" s="59"/>
      <c r="E39" s="59"/>
      <c r="F39" s="59"/>
      <c r="G39" s="27">
        <f>G38-G36</f>
        <v>343.75</v>
      </c>
      <c r="H39" s="16" t="s">
        <v>14</v>
      </c>
    </row>
    <row r="40" spans="1:8" ht="15" customHeight="1" x14ac:dyDescent="0.25">
      <c r="A40" s="20" t="s">
        <v>27</v>
      </c>
      <c r="B40" s="8" t="s">
        <v>6</v>
      </c>
      <c r="C40" s="8" t="s">
        <v>7</v>
      </c>
      <c r="D40" s="9" t="s">
        <v>8</v>
      </c>
      <c r="E40" s="9" t="s">
        <v>9</v>
      </c>
      <c r="F40" s="10" t="s">
        <v>10</v>
      </c>
      <c r="G40" s="29" t="s">
        <v>11</v>
      </c>
      <c r="H40" s="29" t="s">
        <v>12</v>
      </c>
    </row>
    <row r="41" spans="1:8" ht="15" customHeight="1" x14ac:dyDescent="0.25">
      <c r="A41" s="12"/>
      <c r="B41" t="s">
        <v>15</v>
      </c>
      <c r="C41" t="s">
        <v>61</v>
      </c>
      <c r="D41" s="13" t="s">
        <v>60</v>
      </c>
      <c r="E41" s="14">
        <v>1</v>
      </c>
      <c r="F41">
        <v>25</v>
      </c>
      <c r="G41" s="16">
        <v>100</v>
      </c>
      <c r="H41" s="16" t="s">
        <v>14</v>
      </c>
    </row>
    <row r="42" spans="1:8" ht="15" customHeight="1" x14ac:dyDescent="0.25">
      <c r="A42" s="12"/>
      <c r="D42" s="14"/>
      <c r="E42" s="14"/>
      <c r="G42" s="15">
        <f t="shared" ref="G42:G44" si="3">E42*F42</f>
        <v>0</v>
      </c>
      <c r="H42" s="16" t="s">
        <v>14</v>
      </c>
    </row>
    <row r="43" spans="1:8" ht="15" customHeight="1" x14ac:dyDescent="0.25">
      <c r="A43" s="12"/>
      <c r="D43" s="14"/>
      <c r="E43" s="14"/>
      <c r="G43" s="15">
        <f t="shared" si="3"/>
        <v>0</v>
      </c>
      <c r="H43" s="16" t="s">
        <v>14</v>
      </c>
    </row>
    <row r="44" spans="1:8" ht="15" customHeight="1" x14ac:dyDescent="0.25">
      <c r="A44" s="12"/>
      <c r="D44" s="14"/>
      <c r="E44" s="14"/>
      <c r="G44" s="15">
        <f t="shared" si="3"/>
        <v>0</v>
      </c>
      <c r="H44" s="16" t="s">
        <v>14</v>
      </c>
    </row>
    <row r="45" spans="1:8" ht="15" customHeight="1" x14ac:dyDescent="0.25">
      <c r="A45" s="12"/>
      <c r="B45" s="56" t="s">
        <v>19</v>
      </c>
      <c r="C45" s="52"/>
      <c r="D45" s="52"/>
      <c r="E45" s="52"/>
      <c r="F45" s="52"/>
      <c r="G45" s="15">
        <f>SUM(G40:G44)</f>
        <v>100</v>
      </c>
      <c r="H45" s="16" t="s">
        <v>14</v>
      </c>
    </row>
    <row r="46" spans="1:8" ht="15" customHeight="1" x14ac:dyDescent="0.25">
      <c r="A46" s="12"/>
      <c r="B46" s="56" t="s">
        <v>20</v>
      </c>
      <c r="C46" s="52"/>
      <c r="D46" s="52"/>
      <c r="E46" s="52"/>
      <c r="F46" s="52"/>
      <c r="G46" s="22">
        <v>0.25</v>
      </c>
      <c r="H46" s="22"/>
    </row>
    <row r="47" spans="1:8" ht="15" customHeight="1" x14ac:dyDescent="0.25">
      <c r="A47" s="12"/>
      <c r="B47" s="57" t="s">
        <v>28</v>
      </c>
      <c r="C47" s="52"/>
      <c r="D47" s="52"/>
      <c r="E47" s="52"/>
      <c r="F47" s="52"/>
      <c r="G47" s="15">
        <f>G45*(1+G46)</f>
        <v>125</v>
      </c>
      <c r="H47" s="16" t="s">
        <v>14</v>
      </c>
    </row>
    <row r="48" spans="1:8" ht="15" customHeight="1" x14ac:dyDescent="0.25">
      <c r="A48" s="24"/>
      <c r="B48" s="25"/>
      <c r="C48" s="25"/>
      <c r="D48" s="13"/>
      <c r="E48" s="13"/>
      <c r="F48" s="26"/>
      <c r="G48" s="27"/>
      <c r="H48" s="15"/>
    </row>
    <row r="49" spans="1:8" ht="15" customHeight="1" x14ac:dyDescent="0.25">
      <c r="A49" s="24" t="s">
        <v>29</v>
      </c>
      <c r="B49" s="25" t="s">
        <v>30</v>
      </c>
      <c r="C49" s="69" t="s">
        <v>66</v>
      </c>
      <c r="D49" s="13" t="s">
        <v>17</v>
      </c>
      <c r="E49" s="13">
        <v>1</v>
      </c>
      <c r="F49" s="26">
        <v>500</v>
      </c>
      <c r="G49" s="27">
        <f>E49*F49</f>
        <v>500</v>
      </c>
      <c r="H49" s="16" t="s">
        <v>14</v>
      </c>
    </row>
    <row r="50" spans="1:8" ht="15" customHeight="1" x14ac:dyDescent="0.25">
      <c r="A50" s="28"/>
      <c r="B50" s="58" t="s">
        <v>31</v>
      </c>
      <c r="C50" s="59"/>
      <c r="D50" s="59"/>
      <c r="E50" s="59"/>
      <c r="F50" s="59"/>
      <c r="G50" s="27">
        <f>G49-G47</f>
        <v>375</v>
      </c>
      <c r="H50" s="16" t="s">
        <v>14</v>
      </c>
    </row>
    <row r="51" spans="1:8" ht="15" customHeight="1" x14ac:dyDescent="0.25">
      <c r="A51" s="20" t="s">
        <v>32</v>
      </c>
      <c r="B51" s="8" t="s">
        <v>6</v>
      </c>
      <c r="C51" s="8" t="s">
        <v>7</v>
      </c>
      <c r="D51" s="9" t="s">
        <v>8</v>
      </c>
      <c r="E51" s="9" t="s">
        <v>9</v>
      </c>
      <c r="F51" s="10" t="s">
        <v>10</v>
      </c>
      <c r="G51" s="29" t="s">
        <v>11</v>
      </c>
      <c r="H51" s="29" t="s">
        <v>12</v>
      </c>
    </row>
    <row r="52" spans="1:8" ht="15" customHeight="1" x14ac:dyDescent="0.25">
      <c r="A52" s="12"/>
      <c r="B52" s="71" t="s">
        <v>75</v>
      </c>
      <c r="C52" t="s">
        <v>13</v>
      </c>
      <c r="D52" s="71" t="s">
        <v>75</v>
      </c>
      <c r="E52" s="14">
        <v>0</v>
      </c>
      <c r="F52">
        <v>0</v>
      </c>
      <c r="G52" s="15">
        <v>0</v>
      </c>
      <c r="H52" s="16" t="s">
        <v>14</v>
      </c>
    </row>
    <row r="53" spans="1:8" ht="15" customHeight="1" x14ac:dyDescent="0.25">
      <c r="A53" s="12"/>
      <c r="D53" s="14"/>
      <c r="E53" s="14"/>
      <c r="G53" s="15">
        <f t="shared" ref="G53:G55" si="4">E53*F53</f>
        <v>0</v>
      </c>
      <c r="H53" s="16" t="s">
        <v>14</v>
      </c>
    </row>
    <row r="54" spans="1:8" ht="15" customHeight="1" x14ac:dyDescent="0.25">
      <c r="A54" s="12"/>
      <c r="D54" s="14"/>
      <c r="E54" s="14"/>
      <c r="G54" s="15">
        <f t="shared" si="4"/>
        <v>0</v>
      </c>
      <c r="H54" s="16" t="s">
        <v>14</v>
      </c>
    </row>
    <row r="55" spans="1:8" ht="15" customHeight="1" x14ac:dyDescent="0.25">
      <c r="A55" s="12"/>
      <c r="D55" s="14"/>
      <c r="E55" s="14"/>
      <c r="G55" s="15">
        <f t="shared" si="4"/>
        <v>0</v>
      </c>
      <c r="H55" s="16" t="s">
        <v>14</v>
      </c>
    </row>
    <row r="56" spans="1:8" ht="15" customHeight="1" x14ac:dyDescent="0.25">
      <c r="A56" s="12"/>
      <c r="B56" s="56" t="s">
        <v>19</v>
      </c>
      <c r="C56" s="52"/>
      <c r="D56" s="52"/>
      <c r="E56" s="52"/>
      <c r="F56" s="52"/>
      <c r="G56" s="15">
        <f>SUM(G51:G55)</f>
        <v>0</v>
      </c>
      <c r="H56" s="16" t="s">
        <v>14</v>
      </c>
    </row>
    <row r="57" spans="1:8" ht="15" customHeight="1" x14ac:dyDescent="0.25">
      <c r="A57" s="12"/>
      <c r="B57" s="56" t="s">
        <v>20</v>
      </c>
      <c r="C57" s="52"/>
      <c r="D57" s="52"/>
      <c r="E57" s="52"/>
      <c r="F57" s="52"/>
      <c r="G57" s="22">
        <v>0.25</v>
      </c>
      <c r="H57" s="22"/>
    </row>
    <row r="58" spans="1:8" ht="15" customHeight="1" x14ac:dyDescent="0.25">
      <c r="A58" s="12"/>
      <c r="B58" s="57" t="s">
        <v>33</v>
      </c>
      <c r="C58" s="52"/>
      <c r="D58" s="52"/>
      <c r="E58" s="52"/>
      <c r="F58" s="52"/>
      <c r="G58" s="15">
        <f>G56*(1+G57)</f>
        <v>0</v>
      </c>
      <c r="H58" s="16" t="s">
        <v>14</v>
      </c>
    </row>
    <row r="59" spans="1:8" ht="15" customHeight="1" x14ac:dyDescent="0.25">
      <c r="A59" s="24"/>
      <c r="B59" s="17"/>
      <c r="D59" s="13"/>
      <c r="E59" s="14"/>
      <c r="G59" s="15"/>
      <c r="H59" s="19"/>
    </row>
    <row r="60" spans="1:8" ht="15" customHeight="1" x14ac:dyDescent="0.25">
      <c r="A60" s="24" t="s">
        <v>34</v>
      </c>
      <c r="B60" s="71" t="s">
        <v>75</v>
      </c>
      <c r="C60" s="71" t="s">
        <v>75</v>
      </c>
      <c r="D60" s="71" t="s">
        <v>75</v>
      </c>
      <c r="E60" s="14">
        <v>0</v>
      </c>
      <c r="F60">
        <v>0</v>
      </c>
      <c r="G60" s="15">
        <f>E60*F60</f>
        <v>0</v>
      </c>
      <c r="H60" s="16" t="s">
        <v>14</v>
      </c>
    </row>
    <row r="61" spans="1:8" ht="15" customHeight="1" x14ac:dyDescent="0.25">
      <c r="A61" s="12"/>
      <c r="B61" s="60" t="s">
        <v>35</v>
      </c>
      <c r="C61" s="52"/>
      <c r="D61" s="52"/>
      <c r="E61" s="52"/>
      <c r="F61" s="52"/>
      <c r="G61" s="27">
        <f>G60-G58</f>
        <v>0</v>
      </c>
      <c r="H61" s="16" t="s">
        <v>14</v>
      </c>
    </row>
    <row r="62" spans="1:8" ht="15" customHeight="1" x14ac:dyDescent="0.25">
      <c r="A62" s="30"/>
      <c r="B62" s="31"/>
      <c r="C62" s="31"/>
      <c r="D62" s="31"/>
      <c r="E62" s="31"/>
      <c r="F62" s="31"/>
      <c r="G62" s="32"/>
      <c r="H62" s="33"/>
    </row>
    <row r="63" spans="1:8" ht="15" customHeight="1" x14ac:dyDescent="0.25">
      <c r="A63" s="53" t="s">
        <v>36</v>
      </c>
      <c r="B63" s="54"/>
      <c r="C63" s="54"/>
      <c r="D63" s="54"/>
      <c r="E63" s="54"/>
      <c r="F63" s="54"/>
      <c r="G63" s="54"/>
      <c r="H63" s="55"/>
    </row>
    <row r="64" spans="1:8" ht="15" customHeight="1" x14ac:dyDescent="0.25">
      <c r="A64" s="61"/>
      <c r="B64" s="59"/>
      <c r="C64" s="59"/>
      <c r="D64" s="59"/>
      <c r="E64" s="59"/>
      <c r="F64" s="59"/>
      <c r="G64" s="59"/>
      <c r="H64" s="62"/>
    </row>
    <row r="65" spans="1:8" ht="15" customHeight="1" x14ac:dyDescent="0.25">
      <c r="A65" s="53" t="s">
        <v>37</v>
      </c>
      <c r="B65" s="54"/>
      <c r="C65" s="54"/>
      <c r="D65" s="54"/>
      <c r="E65" s="54"/>
      <c r="F65" s="54"/>
      <c r="G65" s="54"/>
      <c r="H65" s="55"/>
    </row>
    <row r="66" spans="1:8" ht="15" customHeight="1" x14ac:dyDescent="0.25">
      <c r="A66" s="20" t="s">
        <v>38</v>
      </c>
      <c r="B66" s="8" t="s">
        <v>6</v>
      </c>
      <c r="C66" s="8" t="s">
        <v>7</v>
      </c>
      <c r="D66" s="9" t="s">
        <v>8</v>
      </c>
      <c r="E66" s="34" t="s">
        <v>39</v>
      </c>
      <c r="F66" s="10" t="s">
        <v>10</v>
      </c>
      <c r="G66" s="29" t="s">
        <v>11</v>
      </c>
      <c r="H66" s="29" t="s">
        <v>12</v>
      </c>
    </row>
    <row r="67" spans="1:8" ht="15" customHeight="1" x14ac:dyDescent="0.25">
      <c r="A67" s="35" t="s">
        <v>40</v>
      </c>
      <c r="B67" s="25" t="s">
        <v>41</v>
      </c>
      <c r="C67" s="68" t="s">
        <v>76</v>
      </c>
      <c r="D67" s="70" t="s">
        <v>77</v>
      </c>
      <c r="E67" s="70" t="s">
        <v>51</v>
      </c>
      <c r="F67" s="26">
        <v>5000</v>
      </c>
      <c r="G67" s="36">
        <v>5000</v>
      </c>
      <c r="H67" s="37" t="s">
        <v>14</v>
      </c>
    </row>
    <row r="68" spans="1:8" ht="15" customHeight="1" x14ac:dyDescent="0.25">
      <c r="A68" s="38"/>
      <c r="B68" s="25"/>
      <c r="C68" s="25"/>
      <c r="D68" s="13"/>
      <c r="E68" s="13"/>
      <c r="F68" s="26"/>
      <c r="G68" s="27"/>
      <c r="H68" s="39"/>
    </row>
    <row r="69" spans="1:8" ht="15" customHeight="1" x14ac:dyDescent="0.25">
      <c r="A69" s="65" t="s">
        <v>42</v>
      </c>
      <c r="B69" s="74" t="s">
        <v>72</v>
      </c>
      <c r="C69" s="69" t="s">
        <v>63</v>
      </c>
      <c r="D69" s="70" t="s">
        <v>64</v>
      </c>
      <c r="E69" s="13">
        <v>1</v>
      </c>
      <c r="F69" s="26">
        <v>1000</v>
      </c>
      <c r="G69" s="27">
        <f t="shared" ref="G69:G71" si="5">E69*F69</f>
        <v>1000</v>
      </c>
      <c r="H69" s="16" t="s">
        <v>14</v>
      </c>
    </row>
    <row r="70" spans="1:8" ht="15" customHeight="1" x14ac:dyDescent="0.25">
      <c r="A70" s="66"/>
      <c r="B70" s="25" t="s">
        <v>25</v>
      </c>
      <c r="C70" s="69" t="s">
        <v>66</v>
      </c>
      <c r="D70" s="13" t="s">
        <v>17</v>
      </c>
      <c r="E70" s="13">
        <v>1</v>
      </c>
      <c r="F70" s="26">
        <v>1000</v>
      </c>
      <c r="G70" s="27">
        <f t="shared" si="5"/>
        <v>1000</v>
      </c>
      <c r="H70" s="16" t="s">
        <v>14</v>
      </c>
    </row>
    <row r="71" spans="1:8" ht="15" customHeight="1" x14ac:dyDescent="0.25">
      <c r="A71" s="66"/>
      <c r="B71" s="17"/>
      <c r="D71" s="13"/>
      <c r="E71" s="14"/>
      <c r="F71">
        <v>0</v>
      </c>
      <c r="G71" s="15">
        <f t="shared" si="5"/>
        <v>0</v>
      </c>
      <c r="H71" s="16" t="s">
        <v>14</v>
      </c>
    </row>
    <row r="72" spans="1:8" ht="15" customHeight="1" x14ac:dyDescent="0.25">
      <c r="A72" s="38"/>
      <c r="B72" s="60" t="s">
        <v>43</v>
      </c>
      <c r="C72" s="52"/>
      <c r="D72" s="52"/>
      <c r="E72" s="52"/>
      <c r="F72" s="52"/>
      <c r="G72" s="36">
        <f>G67-SUM(G69:G71)</f>
        <v>3000</v>
      </c>
      <c r="H72" s="37" t="s">
        <v>14</v>
      </c>
    </row>
    <row r="73" spans="1:8" ht="15" customHeight="1" x14ac:dyDescent="0.25">
      <c r="A73" s="38"/>
      <c r="B73" s="3"/>
      <c r="C73" s="3"/>
      <c r="D73" s="18"/>
      <c r="E73" s="18"/>
      <c r="F73" s="18"/>
      <c r="G73" s="40"/>
      <c r="H73" s="41"/>
    </row>
    <row r="74" spans="1:8" ht="15" customHeight="1" x14ac:dyDescent="0.25">
      <c r="A74" s="20" t="s">
        <v>44</v>
      </c>
      <c r="B74" s="8" t="s">
        <v>6</v>
      </c>
      <c r="C74" s="8" t="s">
        <v>7</v>
      </c>
      <c r="D74" s="9" t="s">
        <v>8</v>
      </c>
      <c r="E74" s="34" t="s">
        <v>39</v>
      </c>
      <c r="F74" s="10" t="s">
        <v>10</v>
      </c>
      <c r="G74" s="29" t="s">
        <v>11</v>
      </c>
      <c r="H74" s="29" t="s">
        <v>12</v>
      </c>
    </row>
    <row r="75" spans="1:8" ht="15" customHeight="1" x14ac:dyDescent="0.25">
      <c r="A75" s="35" t="s">
        <v>45</v>
      </c>
      <c r="B75" s="74" t="s">
        <v>75</v>
      </c>
      <c r="C75" s="13" t="s">
        <v>13</v>
      </c>
      <c r="D75" s="74" t="s">
        <v>75</v>
      </c>
      <c r="E75" s="74" t="s">
        <v>75</v>
      </c>
      <c r="F75" s="74" t="s">
        <v>75</v>
      </c>
      <c r="G75" s="36">
        <v>0</v>
      </c>
      <c r="H75" s="37" t="s">
        <v>14</v>
      </c>
    </row>
    <row r="76" spans="1:8" ht="15" customHeight="1" x14ac:dyDescent="0.25">
      <c r="A76" s="38"/>
      <c r="B76" s="25"/>
      <c r="C76" s="25"/>
      <c r="D76" s="13"/>
      <c r="E76" s="13"/>
      <c r="F76" s="26"/>
      <c r="G76" s="27"/>
      <c r="H76" s="39"/>
    </row>
    <row r="77" spans="1:8" ht="15" customHeight="1" x14ac:dyDescent="0.25">
      <c r="A77" s="65" t="s">
        <v>46</v>
      </c>
      <c r="B77" s="74" t="s">
        <v>75</v>
      </c>
      <c r="C77" s="74" t="s">
        <v>75</v>
      </c>
      <c r="D77" s="74" t="s">
        <v>75</v>
      </c>
      <c r="E77" s="74" t="s">
        <v>75</v>
      </c>
      <c r="F77" s="74" t="s">
        <v>75</v>
      </c>
      <c r="G77" s="27">
        <v>0</v>
      </c>
      <c r="H77" s="16" t="s">
        <v>14</v>
      </c>
    </row>
    <row r="78" spans="1:8" ht="15" customHeight="1" x14ac:dyDescent="0.25">
      <c r="A78" s="65"/>
      <c r="B78" s="25"/>
      <c r="C78" s="25"/>
      <c r="D78" s="13"/>
      <c r="E78" s="13"/>
      <c r="F78" s="26"/>
      <c r="G78" s="27"/>
      <c r="H78" s="16"/>
    </row>
    <row r="79" spans="1:8" ht="15" customHeight="1" x14ac:dyDescent="0.25">
      <c r="A79" s="65"/>
      <c r="B79" s="17"/>
      <c r="D79" s="13"/>
      <c r="E79" s="14"/>
      <c r="G79" s="15"/>
      <c r="H79" s="16"/>
    </row>
    <row r="80" spans="1:8" ht="15" customHeight="1" x14ac:dyDescent="0.25">
      <c r="A80" s="38"/>
      <c r="B80" s="80" t="s">
        <v>47</v>
      </c>
      <c r="C80" s="80"/>
      <c r="D80" s="80"/>
      <c r="E80" s="80"/>
      <c r="F80" s="81"/>
      <c r="G80" s="36">
        <f>G75-SUM(G77:G79)</f>
        <v>0</v>
      </c>
      <c r="H80" s="37" t="s">
        <v>14</v>
      </c>
    </row>
    <row r="81" spans="1:8" ht="15" customHeight="1" x14ac:dyDescent="0.25">
      <c r="A81" s="23"/>
      <c r="B81" s="17"/>
      <c r="D81" s="42"/>
      <c r="E81" s="13"/>
      <c r="F81" s="17"/>
      <c r="G81" s="15"/>
      <c r="H81" s="43"/>
    </row>
    <row r="82" spans="1:8" ht="15" customHeight="1" x14ac:dyDescent="0.25">
      <c r="A82" s="77" t="s">
        <v>48</v>
      </c>
      <c r="B82" s="78"/>
      <c r="C82" s="78"/>
      <c r="D82" s="78"/>
      <c r="E82" s="78"/>
      <c r="F82" s="79"/>
      <c r="G82" s="44"/>
      <c r="H82" s="44"/>
    </row>
    <row r="83" spans="1:8" ht="15" customHeight="1" x14ac:dyDescent="0.25">
      <c r="A83" s="45"/>
      <c r="B83" s="46" t="s">
        <v>6</v>
      </c>
      <c r="C83" s="46" t="s">
        <v>7</v>
      </c>
      <c r="D83" s="47" t="s">
        <v>8</v>
      </c>
      <c r="E83" s="47"/>
      <c r="F83" s="48" t="s">
        <v>49</v>
      </c>
      <c r="G83" s="49" t="s">
        <v>50</v>
      </c>
      <c r="H83" s="50"/>
    </row>
    <row r="84" spans="1:8" ht="15" customHeight="1" x14ac:dyDescent="0.25">
      <c r="A84" s="12"/>
      <c r="B84" s="74" t="s">
        <v>75</v>
      </c>
      <c r="C84" t="s">
        <v>13</v>
      </c>
      <c r="D84" s="74" t="s">
        <v>75</v>
      </c>
      <c r="E84" s="14"/>
      <c r="F84" s="74" t="s">
        <v>75</v>
      </c>
      <c r="G84" s="15">
        <f>SUM(G77:G79)</f>
        <v>0</v>
      </c>
      <c r="H84" s="15"/>
    </row>
    <row r="85" spans="1:8" ht="15" customHeight="1" x14ac:dyDescent="0.25">
      <c r="A85" s="12"/>
      <c r="D85" s="14"/>
      <c r="E85" s="14"/>
      <c r="F85" s="21" t="s">
        <v>52</v>
      </c>
      <c r="G85" s="15" t="e">
        <f>F84/G84</f>
        <v>#VALUE!</v>
      </c>
      <c r="H85" s="16" t="s">
        <v>53</v>
      </c>
    </row>
    <row r="86" spans="1:8" ht="15" customHeight="1" x14ac:dyDescent="0.25">
      <c r="A86" s="67" t="s">
        <v>54</v>
      </c>
      <c r="B86" s="52"/>
      <c r="C86" s="52"/>
      <c r="D86" s="52"/>
      <c r="E86" s="52"/>
      <c r="F86" s="52"/>
      <c r="G86" s="51"/>
      <c r="H86" s="51"/>
    </row>
    <row r="87" spans="1:8" ht="15" customHeight="1" x14ac:dyDescent="0.25">
      <c r="A87" s="63" t="s">
        <v>55</v>
      </c>
      <c r="B87" s="52"/>
      <c r="C87" s="52"/>
      <c r="D87" s="52"/>
      <c r="E87" s="52"/>
      <c r="F87" s="52"/>
      <c r="G87" s="52"/>
      <c r="H87" s="52"/>
    </row>
    <row r="88" spans="1:8" ht="15" customHeight="1" x14ac:dyDescent="0.25">
      <c r="A88" s="64" t="s">
        <v>56</v>
      </c>
      <c r="B88" s="52"/>
      <c r="C88" s="52"/>
      <c r="D88" s="52"/>
      <c r="E88" s="52"/>
      <c r="F88" s="52"/>
      <c r="G88" s="52"/>
      <c r="H88" s="52"/>
    </row>
  </sheetData>
  <mergeCells count="30">
    <mergeCell ref="A64:H64"/>
    <mergeCell ref="A87:H87"/>
    <mergeCell ref="A88:H88"/>
    <mergeCell ref="A65:H65"/>
    <mergeCell ref="A69:A71"/>
    <mergeCell ref="B72:F72"/>
    <mergeCell ref="A77:A79"/>
    <mergeCell ref="B80:F80"/>
    <mergeCell ref="A82:F82"/>
    <mergeCell ref="A86:F86"/>
    <mergeCell ref="B56:F56"/>
    <mergeCell ref="B57:F57"/>
    <mergeCell ref="B58:F58"/>
    <mergeCell ref="B61:F61"/>
    <mergeCell ref="A63:H63"/>
    <mergeCell ref="B39:F39"/>
    <mergeCell ref="B45:F45"/>
    <mergeCell ref="B46:F46"/>
    <mergeCell ref="B47:F47"/>
    <mergeCell ref="B50:F50"/>
    <mergeCell ref="B24:F24"/>
    <mergeCell ref="B27:F27"/>
    <mergeCell ref="B34:F34"/>
    <mergeCell ref="B35:F35"/>
    <mergeCell ref="B36:F36"/>
    <mergeCell ref="A1:H1"/>
    <mergeCell ref="A7:H7"/>
    <mergeCell ref="A15:H15"/>
    <mergeCell ref="B22:F22"/>
    <mergeCell ref="B23:F23"/>
  </mergeCells>
  <conditionalFormatting sqref="G27 G39 G50 G61">
    <cfRule type="cellIs" dxfId="0" priority="1" operator="lessThan">
      <formula>0</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 Castro (Student)</cp:lastModifiedBy>
  <dcterms:created xsi:type="dcterms:W3CDTF">2025-10-22T07:04:38Z</dcterms:created>
  <dcterms:modified xsi:type="dcterms:W3CDTF">2025-10-22T07:04:39Z</dcterms:modified>
</cp:coreProperties>
</file>